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ni\Final AICT Project\Excel\"/>
    </mc:Choice>
  </mc:AlternateContent>
  <xr:revisionPtr revIDLastSave="0" documentId="13_ncr:1_{64F773FF-61A2-431D-8451-76A833B73D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 members &amp; salary" sheetId="1" r:id="rId1"/>
    <sheet name="services" sheetId="6" r:id="rId2"/>
    <sheet name="total_expenses" sheetId="13" r:id="rId3"/>
    <sheet name="projects &amp; sales" sheetId="5" r:id="rId4"/>
    <sheet name="financial_summary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F2" i="14" s="1"/>
  <c r="E2" i="14"/>
  <c r="D3" i="14"/>
  <c r="E3" i="14"/>
  <c r="F3" i="14"/>
  <c r="D4" i="14"/>
  <c r="F4" i="14" s="1"/>
  <c r="E4" i="14"/>
  <c r="D5" i="14"/>
  <c r="E5" i="14"/>
  <c r="F5" i="14"/>
  <c r="D6" i="14"/>
  <c r="E6" i="14"/>
  <c r="F6" i="14"/>
  <c r="D7" i="14"/>
  <c r="F7" i="14" s="1"/>
  <c r="E7" i="14"/>
  <c r="D8" i="14"/>
  <c r="E8" i="14"/>
  <c r="F8" i="14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4" i="5"/>
  <c r="G4" i="5"/>
  <c r="H4" i="5" s="1"/>
  <c r="G5" i="5"/>
  <c r="H5" i="5" s="1"/>
  <c r="G6" i="5"/>
  <c r="H6" i="5"/>
  <c r="G7" i="5"/>
  <c r="H7" i="5"/>
  <c r="G8" i="5"/>
  <c r="H8" i="5" s="1"/>
  <c r="G9" i="5"/>
  <c r="H9" i="5" s="1"/>
  <c r="G10" i="5"/>
  <c r="H10" i="5" s="1"/>
  <c r="G11" i="5"/>
  <c r="H11" i="5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/>
  <c r="G56" i="5"/>
  <c r="H56" i="5" s="1"/>
  <c r="G57" i="5"/>
  <c r="H57" i="5" s="1"/>
  <c r="G58" i="5"/>
  <c r="H58" i="5"/>
  <c r="I58" i="5" s="1"/>
  <c r="G59" i="5"/>
  <c r="H59" i="5" s="1"/>
  <c r="I59" i="5" s="1"/>
  <c r="G60" i="5"/>
  <c r="H60" i="5" s="1"/>
  <c r="I60" i="5" s="1"/>
  <c r="F2" i="13"/>
  <c r="F3" i="13" l="1"/>
  <c r="F4" i="13"/>
  <c r="F5" i="13"/>
  <c r="F6" i="13"/>
  <c r="F7" i="13"/>
  <c r="I2" i="1" l="1"/>
  <c r="I5" i="1"/>
  <c r="I6" i="1"/>
  <c r="I3" i="1"/>
  <c r="I4" i="1" l="1"/>
  <c r="I7" i="1"/>
</calcChain>
</file>

<file path=xl/sharedStrings.xml><?xml version="1.0" encoding="utf-8"?>
<sst xmlns="http://schemas.openxmlformats.org/spreadsheetml/2006/main" count="395" uniqueCount="132">
  <si>
    <t>Staff ID</t>
  </si>
  <si>
    <t>Staff Name</t>
  </si>
  <si>
    <t>Job Title</t>
  </si>
  <si>
    <t>Salary</t>
  </si>
  <si>
    <t>Work Type</t>
  </si>
  <si>
    <t>Level</t>
  </si>
  <si>
    <t>Working Hours/Day</t>
  </si>
  <si>
    <t>Working Days/Week</t>
  </si>
  <si>
    <t>Hours/Week</t>
  </si>
  <si>
    <t>Moeez Ahmed</t>
  </si>
  <si>
    <t>Website Developer</t>
  </si>
  <si>
    <t>Salary Base</t>
  </si>
  <si>
    <t>Senior</t>
  </si>
  <si>
    <t>Husnain Ali</t>
  </si>
  <si>
    <t>Video Editor</t>
  </si>
  <si>
    <t>Ali  Asjad</t>
  </si>
  <si>
    <t>Social Media Manager</t>
  </si>
  <si>
    <t xml:space="preserve">Fatima Batool </t>
  </si>
  <si>
    <t>SEO Expert</t>
  </si>
  <si>
    <t>Junior</t>
  </si>
  <si>
    <t>Alishba Mahmood</t>
  </si>
  <si>
    <t>Digital Marketing Specialist</t>
  </si>
  <si>
    <t>Project Base</t>
  </si>
  <si>
    <t>Muhammad Arham</t>
  </si>
  <si>
    <t>Graphic Designer</t>
  </si>
  <si>
    <t>Category</t>
  </si>
  <si>
    <t>Package Name</t>
  </si>
  <si>
    <t>LinkedIn Optimization</t>
  </si>
  <si>
    <t>Basic Package</t>
  </si>
  <si>
    <t>Pro Package</t>
  </si>
  <si>
    <t xml:space="preserve">Complete Package </t>
  </si>
  <si>
    <t>Meta Optimization</t>
  </si>
  <si>
    <t>Website Optimization</t>
  </si>
  <si>
    <t>Digital Market</t>
  </si>
  <si>
    <t>Fyer/Poster</t>
  </si>
  <si>
    <t>Logo/Brand design</t>
  </si>
  <si>
    <t>Social Covers</t>
  </si>
  <si>
    <t>Posts Brouchers</t>
  </si>
  <si>
    <t>LInkedIn banners</t>
  </si>
  <si>
    <t>Bussiness Cards</t>
  </si>
  <si>
    <t>Infographics</t>
  </si>
  <si>
    <t>Ads/Web Designs</t>
  </si>
  <si>
    <t>Social Media Ad creative</t>
  </si>
  <si>
    <t>Facebook Background</t>
  </si>
  <si>
    <t>Post template</t>
  </si>
  <si>
    <t>Color branding</t>
  </si>
  <si>
    <t>SERVICES</t>
  </si>
  <si>
    <t>Month</t>
  </si>
  <si>
    <t>Project Name</t>
  </si>
  <si>
    <t>Client Name</t>
  </si>
  <si>
    <t>Payment Status</t>
  </si>
  <si>
    <t>July</t>
  </si>
  <si>
    <t>Logo Design &amp; Branding Package</t>
  </si>
  <si>
    <t>Adam Wilson</t>
  </si>
  <si>
    <t>Paid</t>
  </si>
  <si>
    <t>Brand Awareness Social Media Campaign</t>
  </si>
  <si>
    <t>Ayesha Khan</t>
  </si>
  <si>
    <t>Complete Brand Identity Design</t>
  </si>
  <si>
    <t>James Anderson</t>
  </si>
  <si>
    <t>Instagram &amp; Facebook Page Management</t>
  </si>
  <si>
    <t>Ali Raza</t>
  </si>
  <si>
    <t>Corporate Brochure Design</t>
  </si>
  <si>
    <t>Sophia Brown</t>
  </si>
  <si>
    <t>Social Media Post Scheduling &amp; Analytics</t>
  </si>
  <si>
    <t>Sara Ahmed</t>
  </si>
  <si>
    <t>Social Media Post Design Pack</t>
  </si>
  <si>
    <t>Daniel Smith</t>
  </si>
  <si>
    <t>Monthly Social Media Management</t>
  </si>
  <si>
    <t>Usman Malik</t>
  </si>
  <si>
    <t>Business Card &amp; Stationery Design</t>
  </si>
  <si>
    <t>Emily Carter</t>
  </si>
  <si>
    <t>Advanced Logo Redesign Project</t>
  </si>
  <si>
    <t>Fatima Noor</t>
  </si>
  <si>
    <t>August</t>
  </si>
  <si>
    <t>Marketing Flyer &amp; Poster Design</t>
  </si>
  <si>
    <t>Michael Davis</t>
  </si>
  <si>
    <t>Business Website Development</t>
  </si>
  <si>
    <t>Hassan Ali</t>
  </si>
  <si>
    <t>Interactive Prototype Design</t>
  </si>
  <si>
    <t>Emma Taylor</t>
  </si>
  <si>
    <t>E-commerce Website Design &amp; Development</t>
  </si>
  <si>
    <t>Zainab Hussain</t>
  </si>
  <si>
    <t>Social Media Advertising Campaign</t>
  </si>
  <si>
    <t>William Moore</t>
  </si>
  <si>
    <t>Portfolio Website Development</t>
  </si>
  <si>
    <t>Bilal Ahmad</t>
  </si>
  <si>
    <t>Startup Branding &amp; Website Package</t>
  </si>
  <si>
    <t>Olivia Johnson</t>
  </si>
  <si>
    <t>Landing Page Design &amp; Development</t>
  </si>
  <si>
    <t>Hamza Sheikh</t>
  </si>
  <si>
    <t>Benjamin Clark</t>
  </si>
  <si>
    <t>Website Redesign &amp; Optimization</t>
  </si>
  <si>
    <t>Maryam Iqbal</t>
  </si>
  <si>
    <t>September</t>
  </si>
  <si>
    <t>Complete Digital Presence Setup</t>
  </si>
  <si>
    <t>Lucas Walker</t>
  </si>
  <si>
    <t>WordPress Website Customization</t>
  </si>
  <si>
    <t>Ahmad Farooq</t>
  </si>
  <si>
    <t>2D Explainer Video Animation</t>
  </si>
  <si>
    <t>Mia Hall</t>
  </si>
  <si>
    <t>Social Media Short Video Ads</t>
  </si>
  <si>
    <t>Noman Qureshi</t>
  </si>
  <si>
    <t>3D Product Animation Video</t>
  </si>
  <si>
    <t>Henry Allen</t>
  </si>
  <si>
    <t>User Experience Research &amp; Wireframing</t>
  </si>
  <si>
    <t>Sana Tariq</t>
  </si>
  <si>
    <t>Motion Graphics Promotional Video</t>
  </si>
  <si>
    <t>Alexander King</t>
  </si>
  <si>
    <t>Imran Shah</t>
  </si>
  <si>
    <t>Whiteboard Animation Video</t>
  </si>
  <si>
    <t>Amelia Wright</t>
  </si>
  <si>
    <t>Rabia Siddiqui</t>
  </si>
  <si>
    <t>Total Expenses</t>
  </si>
  <si>
    <t>October</t>
  </si>
  <si>
    <t>November</t>
  </si>
  <si>
    <t>December</t>
  </si>
  <si>
    <t>Net Profit</t>
  </si>
  <si>
    <t>Remaining</t>
  </si>
  <si>
    <t xml:space="preserve">Rent </t>
  </si>
  <si>
    <t xml:space="preserve">Bills </t>
  </si>
  <si>
    <t xml:space="preserve">Repairing </t>
  </si>
  <si>
    <t xml:space="preserve">Employee Salaries </t>
  </si>
  <si>
    <t>Project Charges ($)</t>
  </si>
  <si>
    <t>Total Income in PKR</t>
  </si>
  <si>
    <t xml:space="preserve">October </t>
  </si>
  <si>
    <t>Date</t>
  </si>
  <si>
    <t>Price ($)</t>
  </si>
  <si>
    <t xml:space="preserve"> Revenue </t>
  </si>
  <si>
    <t>Tax (20%)</t>
  </si>
  <si>
    <t>Transactio Tax</t>
  </si>
  <si>
    <t>Total Income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</si>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</sst>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;@"/>
    <numFmt numFmtId="165" formatCode="_([$PKR]\ * #,##0.00_);_([$PKR]\ * \(#,##0.00\);_([$PKR]\ 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6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8"/>
      <name val="Calibri"/>
      <family val="2"/>
      <scheme val="minor"/>
    </font>
    <font>
      <sz val="24"/>
      <color theme="0"/>
      <name val="Aharoni"/>
      <charset val="177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Border="1"/>
    <xf numFmtId="0" fontId="0" fillId="4" borderId="0" xfId="0" applyFill="1" applyBorder="1" applyAlignment="1">
      <alignment horizontal="left"/>
    </xf>
    <xf numFmtId="0" fontId="4" fillId="0" borderId="0" xfId="0" applyFont="1" applyBorder="1"/>
    <xf numFmtId="44" fontId="4" fillId="0" borderId="0" xfId="3" applyFont="1" applyBorder="1" applyAlignment="1"/>
    <xf numFmtId="0" fontId="0" fillId="0" borderId="0" xfId="0" applyFill="1" applyBorder="1"/>
    <xf numFmtId="44" fontId="4" fillId="0" borderId="0" xfId="3" applyFont="1" applyBorder="1" applyAlignment="1">
      <alignment horizontal="left"/>
    </xf>
    <xf numFmtId="44" fontId="0" fillId="0" borderId="0" xfId="3" applyFont="1" applyBorder="1"/>
    <xf numFmtId="44" fontId="0" fillId="0" borderId="0" xfId="3" applyFont="1" applyBorder="1" applyAlignment="1">
      <alignment horizontal="left"/>
    </xf>
    <xf numFmtId="0" fontId="0" fillId="0" borderId="0" xfId="0" applyNumberFormat="1" applyBorder="1"/>
    <xf numFmtId="0" fontId="0" fillId="0" borderId="0" xfId="0" applyBorder="1" applyAlignment="1"/>
    <xf numFmtId="165" fontId="4" fillId="0" borderId="0" xfId="0" applyNumberFormat="1" applyFont="1" applyBorder="1"/>
    <xf numFmtId="0" fontId="4" fillId="0" borderId="0" xfId="0" applyFont="1" applyFill="1" applyBorder="1"/>
    <xf numFmtId="0" fontId="4" fillId="0" borderId="0" xfId="0" applyNumberFormat="1" applyFont="1" applyBorder="1"/>
    <xf numFmtId="165" fontId="4" fillId="0" borderId="0" xfId="0" applyNumberFormat="1" applyFont="1" applyFill="1" applyBorder="1"/>
    <xf numFmtId="0" fontId="5" fillId="0" borderId="0" xfId="0" applyFont="1" applyFill="1" applyBorder="1" applyAlignment="1">
      <alignment horizontal="center" vertical="center"/>
    </xf>
    <xf numFmtId="44" fontId="5" fillId="0" borderId="0" xfId="3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44" fontId="4" fillId="0" borderId="0" xfId="3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 readingOrder="1"/>
    </xf>
    <xf numFmtId="3" fontId="8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Font="1" applyFill="1" applyBorder="1" applyAlignment="1">
      <alignment horizontal="left" vertical="center" wrapText="1" readingOrder="1"/>
    </xf>
    <xf numFmtId="0" fontId="6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4" fontId="6" fillId="0" borderId="0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/>
    <xf numFmtId="164" fontId="0" fillId="0" borderId="0" xfId="0" applyNumberFormat="1" applyFill="1" applyAlignment="1">
      <alignment horizontal="left"/>
    </xf>
    <xf numFmtId="44" fontId="0" fillId="0" borderId="0" xfId="0" applyNumberFormat="1" applyFill="1"/>
    <xf numFmtId="165" fontId="0" fillId="0" borderId="0" xfId="0" applyNumberFormat="1" applyFill="1"/>
    <xf numFmtId="0" fontId="7" fillId="0" borderId="0" xfId="0" applyFont="1" applyFill="1" applyBorder="1" applyAlignment="1">
      <alignment horizontal="left" vertical="center" wrapText="1" readingOrder="1"/>
    </xf>
    <xf numFmtId="165" fontId="8" fillId="0" borderId="0" xfId="0" applyNumberFormat="1" applyFont="1" applyFill="1" applyBorder="1" applyAlignment="1">
      <alignment horizontal="left" vertical="center" wrapText="1" readingOrder="1"/>
    </xf>
    <xf numFmtId="165" fontId="8" fillId="0" borderId="0" xfId="0" applyNumberFormat="1" applyFont="1" applyFill="1" applyAlignment="1">
      <alignment horizontal="left" vertical="center" wrapText="1" readingOrder="1"/>
    </xf>
    <xf numFmtId="0" fontId="6" fillId="5" borderId="0" xfId="0" applyFont="1" applyFill="1" applyBorder="1" applyAlignment="1">
      <alignment horizontal="center" vertical="center" wrapText="1" readingOrder="1"/>
    </xf>
    <xf numFmtId="0" fontId="12" fillId="5" borderId="0" xfId="2" applyFont="1" applyFill="1" applyBorder="1" applyAlignment="1">
      <alignment horizontal="center"/>
    </xf>
    <xf numFmtId="0" fontId="2" fillId="5" borderId="0" xfId="2" applyFill="1" applyBorder="1" applyAlignment="1">
      <alignment horizontal="center"/>
    </xf>
  </cellXfs>
  <cellStyles count="4">
    <cellStyle name="Accent3" xfId="1" builtinId="37"/>
    <cellStyle name="Accent6" xfId="2" builtinId="49"/>
    <cellStyle name="Currency" xfId="3" builtinId="4"/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1"/>
    </dxf>
    <dxf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6FBFA"/>
      <color rgb="FF55C4C4"/>
      <color rgb="FF119A9A"/>
      <color rgb="FF99E1DF"/>
      <color rgb="FFD9FCFB"/>
      <color rgb="FFAAFAF2"/>
      <color rgb="FF97F7EE"/>
      <color rgb="FF970000"/>
      <color rgb="FF79F2E6"/>
      <color rgb="FF4CE6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60132777520454"/>
          <c:y val="0.11559933777050042"/>
          <c:w val="0.82602612320518753"/>
          <c:h val="0.817031141418689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total_expenses!$F$1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119A9A"/>
            </a:solidFill>
            <a:ln>
              <a:noFill/>
            </a:ln>
            <a:effectLst/>
          </c:spPr>
          <c:invertIfNegative val="0"/>
          <c:val>
            <c:numRef>
              <c:f>total_expenses!$F$2:$F$7</c:f>
              <c:numCache>
                <c:formatCode>General</c:formatCode>
                <c:ptCount val="6"/>
                <c:pt idx="0" formatCode="#,##0">
                  <c:v>645000</c:v>
                </c:pt>
                <c:pt idx="1">
                  <c:v>580000</c:v>
                </c:pt>
                <c:pt idx="2">
                  <c:v>619999</c:v>
                </c:pt>
                <c:pt idx="3">
                  <c:v>650000</c:v>
                </c:pt>
                <c:pt idx="4">
                  <c:v>635000</c:v>
                </c:pt>
                <c:pt idx="5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3-4FF4-84A5-63A65720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92531103"/>
        <c:axId val="392529855"/>
      </c:barChart>
      <c:catAx>
        <c:axId val="392531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529855"/>
        <c:crosses val="autoZero"/>
        <c:auto val="1"/>
        <c:lblAlgn val="ctr"/>
        <c:lblOffset val="100"/>
        <c:noMultiLvlLbl val="0"/>
      </c:catAx>
      <c:valAx>
        <c:axId val="3925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53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Finacial</a:t>
            </a:r>
            <a:r>
              <a:rPr lang="en-US" baseline="0"/>
              <a:t>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3467592592592595"/>
          <c:w val="0.90286351706036749"/>
          <c:h val="0.755354792777266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financial_summary!$A$1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6">
                <a:shade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8-4C98-9395-97F039DAD311}"/>
            </c:ext>
          </c:extLst>
        </c:ser>
        <c:ser>
          <c:idx val="1"/>
          <c:order val="1"/>
          <c:tx>
            <c:strRef>
              <c:f>financial_summary!$B$1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financial_summary!$B$2:$B$8</c:f>
              <c:numCache>
                <c:formatCode>_([$PKR]\ * #,##0.00_);_([$PKR]\ * \(#,##0.00\);_([$PKR]\ * "-"??_);_(@_)</c:formatCode>
                <c:ptCount val="7"/>
                <c:pt idx="0">
                  <c:v>1720170</c:v>
                </c:pt>
                <c:pt idx="1">
                  <c:v>1607985</c:v>
                </c:pt>
                <c:pt idx="2">
                  <c:v>1383615</c:v>
                </c:pt>
                <c:pt idx="3">
                  <c:v>1467130</c:v>
                </c:pt>
                <c:pt idx="4">
                  <c:v>1625436</c:v>
                </c:pt>
                <c:pt idx="5">
                  <c:v>1032102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7-4048-A636-13BAC5698A18}"/>
            </c:ext>
          </c:extLst>
        </c:ser>
        <c:ser>
          <c:idx val="2"/>
          <c:order val="2"/>
          <c:tx>
            <c:strRef>
              <c:f>financial_summary!$C$1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6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financial_summary!$C$2:$C$8</c:f>
              <c:numCache>
                <c:formatCode>_([$PKR]\ * #,##0.00_);_([$PKR]\ * \(#,##0.00\);_([$PKR]\ * "-"??_);_(@_)</c:formatCode>
                <c:ptCount val="7"/>
                <c:pt idx="0">
                  <c:v>645000</c:v>
                </c:pt>
                <c:pt idx="1">
                  <c:v>580000</c:v>
                </c:pt>
                <c:pt idx="2">
                  <c:v>619999</c:v>
                </c:pt>
                <c:pt idx="3">
                  <c:v>650000</c:v>
                </c:pt>
                <c:pt idx="4">
                  <c:v>635000</c:v>
                </c:pt>
                <c:pt idx="5">
                  <c:v>595000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7-4048-A636-13BAC5698A18}"/>
            </c:ext>
          </c:extLst>
        </c:ser>
        <c:ser>
          <c:idx val="3"/>
          <c:order val="3"/>
          <c:tx>
            <c:strRef>
              <c:f>financial_summary!$D$1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6">
                <a:tint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financial_summary!$D$2:$D$8</c:f>
              <c:numCache>
                <c:formatCode>_([$PKR]\ * #,##0.00_);_([$PKR]\ * \(#,##0.00\);_([$PKR]\ * "-"??_);_(@_)</c:formatCode>
                <c:ptCount val="7"/>
                <c:pt idx="0">
                  <c:v>1075170</c:v>
                </c:pt>
                <c:pt idx="1">
                  <c:v>1027985</c:v>
                </c:pt>
                <c:pt idx="2">
                  <c:v>763616</c:v>
                </c:pt>
                <c:pt idx="3">
                  <c:v>817130</c:v>
                </c:pt>
                <c:pt idx="4">
                  <c:v>990436</c:v>
                </c:pt>
                <c:pt idx="5">
                  <c:v>437102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7-4048-A636-13BAC5698A18}"/>
            </c:ext>
          </c:extLst>
        </c:ser>
        <c:ser>
          <c:idx val="4"/>
          <c:order val="4"/>
          <c:tx>
            <c:strRef>
              <c:f>financial_summary!$E$1</c:f>
              <c:strCache>
                <c:ptCount val="1"/>
                <c:pt idx="0">
                  <c:v>Tax (20%)</c:v>
                </c:pt>
              </c:strCache>
            </c:strRef>
          </c:tx>
          <c:spPr>
            <a:solidFill>
              <a:schemeClr val="accent6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financial_summary!$E$2:$E$8</c:f>
              <c:numCache>
                <c:formatCode>_([$PKR]\ * #,##0.00_);_([$PKR]\ * \(#,##0.00\);_([$PKR]\ * "-"??_);_(@_)</c:formatCode>
                <c:ptCount val="7"/>
                <c:pt idx="0">
                  <c:v>129000</c:v>
                </c:pt>
                <c:pt idx="1">
                  <c:v>116000</c:v>
                </c:pt>
                <c:pt idx="2">
                  <c:v>123999.8</c:v>
                </c:pt>
                <c:pt idx="3">
                  <c:v>130000</c:v>
                </c:pt>
                <c:pt idx="4">
                  <c:v>127000</c:v>
                </c:pt>
                <c:pt idx="5">
                  <c:v>119000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F7-4048-A636-13BAC5698A18}"/>
            </c:ext>
          </c:extLst>
        </c:ser>
        <c:ser>
          <c:idx val="5"/>
          <c:order val="5"/>
          <c:tx>
            <c:strRef>
              <c:f>financial_summary!$F$1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6">
                <a:tint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financial_summary!$F$2:$F$8</c:f>
              <c:numCache>
                <c:formatCode>_([$PKR]\ * #,##0.00_);_([$PKR]\ * \(#,##0.00\);_([$PKR]\ * "-"??_);_(@_)</c:formatCode>
                <c:ptCount val="7"/>
                <c:pt idx="0">
                  <c:v>946170</c:v>
                </c:pt>
                <c:pt idx="1">
                  <c:v>911985</c:v>
                </c:pt>
                <c:pt idx="2">
                  <c:v>639616.19999999995</c:v>
                </c:pt>
                <c:pt idx="3">
                  <c:v>687130</c:v>
                </c:pt>
                <c:pt idx="4">
                  <c:v>863436</c:v>
                </c:pt>
                <c:pt idx="5">
                  <c:v>318102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7-4048-A636-13BAC569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60543"/>
        <c:axId val="919962623"/>
      </c:barChart>
      <c:catAx>
        <c:axId val="9199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19962623"/>
        <c:crosses val="autoZero"/>
        <c:auto val="1"/>
        <c:lblAlgn val="ctr"/>
        <c:lblOffset val="100"/>
        <c:noMultiLvlLbl val="0"/>
      </c:catAx>
      <c:valAx>
        <c:axId val="9199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199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60324</xdr:colOff>
      <xdr:row>0</xdr:row>
      <xdr:rowOff>177798</xdr:rowOff>
    </xdr:from>
    <xdr:to>
      <xdr:col>16</xdr:col>
      <xdr:colOff>450849</xdr:colOff>
      <xdr:row>21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3</xdr:row>
      <xdr:rowOff>57883</xdr:rowOff>
    </xdr:from>
    <xdr:to>
      <xdr:col>20</xdr:col>
      <xdr:colOff>519478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529CD0-B8BE-4661-B56D-FD130E298980}" name="Table8" displayName="Table8" ref="A1:I7" totalsRowShown="0" headerRowDxfId="42" dataDxfId="41">
  <autoFilter ref="A1:I7" xr:uid="{4A529CD0-B8BE-4661-B56D-FD130E298980}"/>
  <tableColumns count="9">
    <tableColumn id="1" xr3:uid="{69FFF8B5-4AD9-4334-B2BB-2BD7D49FDFE1}" name="Staff ID" dataDxfId="40"/>
    <tableColumn id="2" xr3:uid="{1472BE86-B886-4E39-A740-6A48E28FF14A}" name="Staff Name" dataDxfId="39"/>
    <tableColumn id="3" xr3:uid="{A74C0ECC-35CE-44A1-875E-35E180D1C9E9}" name="Job Title" dataDxfId="38"/>
    <tableColumn id="4" xr3:uid="{06FE5130-B61D-4A0A-B2E9-96FC5423655D}" name="Salary" dataDxfId="37"/>
    <tableColumn id="5" xr3:uid="{B2F04A46-1B97-477F-A6FE-DA44603FA4AD}" name="Work Type" dataDxfId="36"/>
    <tableColumn id="6" xr3:uid="{B4FD4E2D-AA9A-4B8A-919C-59DCD7CE39E1}" name="Level" dataDxfId="35"/>
    <tableColumn id="7" xr3:uid="{6C7B8B8B-C069-4FE1-899C-0454B653D772}" name="Working Hours/Day" dataDxfId="34"/>
    <tableColumn id="8" xr3:uid="{671BE367-4226-4C4F-A85C-B9687EAEBB2A}" name="Working Days/Week" dataDxfId="33"/>
    <tableColumn id="9" xr3:uid="{9B46DA0F-B15E-4B8D-851F-9FA13FD1BE36}" name="Hours/Week" dataDxfId="32">
      <calculatedColumnFormula>G2*H2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661B02-F609-40F7-BEA2-A8C1B66B21F5}" name="Table6" displayName="Table6" ref="A1:C49" totalsRowShown="0" headerRowDxfId="31" dataDxfId="30">
  <autoFilter ref="A1:C49" xr:uid="{8D661B02-F609-40F7-BEA2-A8C1B66B21F5}"/>
  <tableColumns count="3">
    <tableColumn id="1" xr3:uid="{3BED464F-7876-45DA-B581-B77D1D9557FE}" name="Category" dataDxfId="29"/>
    <tableColumn id="2" xr3:uid="{6C1E074B-0DFB-4928-AB71-8BBA94323ECA}" name="Package Name" dataDxfId="28"/>
    <tableColumn id="3" xr3:uid="{C21350C8-211B-4654-A49A-D55CB8C91D9D}" name="Price ($)" dataDxfId="27" dataCellStyle="Currency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560147-C13E-4DB3-838F-FBEEBE9360CF}" name="Table5" displayName="Table5" ref="A1:F7" totalsRowShown="0" headerRowDxfId="26" dataDxfId="25">
  <autoFilter ref="A1:F7" xr:uid="{E5560147-C13E-4DB3-838F-FBEEBE9360CF}"/>
  <tableColumns count="6">
    <tableColumn id="1" xr3:uid="{81AC9914-C5EB-43A3-A05D-F54CFD907979}" name="Month" dataDxfId="24"/>
    <tableColumn id="2" xr3:uid="{383DB260-2BF9-46F1-AD81-1ECC0A4E53D4}" name="Employee Salaries " dataDxfId="23"/>
    <tableColumn id="3" xr3:uid="{BCBD313C-38CC-41A7-955F-2BB0C2D21599}" name="Rent " dataDxfId="22"/>
    <tableColumn id="4" xr3:uid="{9C35DE6C-F7D2-4D02-965A-B3B666A4386A}" name="Bills " dataDxfId="21"/>
    <tableColumn id="5" xr3:uid="{06FA547A-D827-41E1-829A-586534EFB2B8}" name="Repairing " dataDxfId="20"/>
    <tableColumn id="6" xr3:uid="{950D3DC0-3063-43CC-A035-D788EB835A64}" name="Total Expenses" dataDxfId="19">
      <calculatedColumnFormula>B2+C2+D2+E2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549C36-349B-4E80-B61A-7E2DB7FFC5E3}" name="Table4" displayName="Table4" ref="A3:I60" totalsRowShown="0" headerRowDxfId="18" dataDxfId="17" headerRowCellStyle="Currency">
  <autoFilter ref="A3:I60" xr:uid="{BC549C36-349B-4E80-B61A-7E2DB7FFC5E3}"/>
  <tableColumns count="9">
    <tableColumn id="1" xr3:uid="{1CDC072A-A984-4977-80A5-04F72B4A3888}" name="Month" dataDxfId="16"/>
    <tableColumn id="2" xr3:uid="{B4C8308F-35F9-4FB9-9945-3CA9541983C8}" name="Date" dataDxfId="15"/>
    <tableColumn id="3" xr3:uid="{A8834EE3-A772-4A79-BAE3-478799B52942}" name="Project Name" dataDxfId="14"/>
    <tableColumn id="4" xr3:uid="{93A7C8BA-5286-40EE-AC41-C66B3D3E0C4C}" name="Client Name" dataDxfId="13"/>
    <tableColumn id="5" xr3:uid="{AF54292B-5E25-4D17-B8BE-1749C32C1400}" name="Project Charges ($)" dataDxfId="12"/>
    <tableColumn id="6" xr3:uid="{364AB499-9086-4208-8E59-F193BC5E8CC8}" name="Payment Status" dataDxfId="11"/>
    <tableColumn id="7" xr3:uid="{C748D4E0-BCA8-4DFB-B42A-9E58986C4E03}" name="Transactio Tax" dataDxfId="10">
      <calculatedColumnFormula>E4*10%</calculatedColumnFormula>
    </tableColumn>
    <tableColumn id="8" xr3:uid="{66FBEA7F-7FC1-492F-A67B-B294DD6141D4}" name="Total Income" dataDxfId="9">
      <calculatedColumnFormula>E4-G4</calculatedColumnFormula>
    </tableColumn>
    <tableColumn id="9" xr3:uid="{FF816E0D-14EC-40E2-B83C-4CBA7FC18174}" name="Total Income in PKR" dataDxfId="8">
      <calculatedColumnFormula>H4*277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F99BFD-AE79-40AD-AAD3-56D8F15D9A25}" name="Table7" displayName="Table7" ref="A1:F8" totalsRowShown="0" headerRowDxfId="7" dataDxfId="6">
  <autoFilter ref="A1:F8" xr:uid="{57F99BFD-AE79-40AD-AAD3-56D8F15D9A25}"/>
  <tableColumns count="6">
    <tableColumn id="1" xr3:uid="{A22B9EF5-7AD4-4340-829E-DB331AABE2A5}" name="Month" dataDxfId="5"/>
    <tableColumn id="2" xr3:uid="{5878A687-055A-44DE-AECA-D65A20142B58}" name=" Revenue " dataDxfId="4"/>
    <tableColumn id="3" xr3:uid="{A127EDB4-6C5E-49AF-A5FB-99E8F17BA804}" name="Total Expenses" dataDxfId="3"/>
    <tableColumn id="4" xr3:uid="{8DFDFA09-A2BB-4405-B4AE-78571341C750}" name="Net Profit" dataDxfId="2">
      <calculatedColumnFormula>Table7[[#This Row],[ Revenue ]]-Table7[[#This Row],[Total Expenses]]</calculatedColumnFormula>
    </tableColumn>
    <tableColumn id="5" xr3:uid="{449B9029-B331-471E-A5EB-4CE326581EEE}" name="Tax (20%)" dataDxfId="1">
      <calculatedColumnFormula>C2*20%</calculatedColumnFormula>
    </tableColumn>
    <tableColumn id="6" xr3:uid="{97EC350C-B9BE-44BE-92F5-C7EFB8ADC505}" name="Remaining" dataDxfId="0">
      <calculatedColumnFormula>D2-E2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87" workbookViewId="0">
      <selection activeCell="F27" sqref="F27"/>
    </sheetView>
  </sheetViews>
  <sheetFormatPr defaultColWidth="8.7109375" defaultRowHeight="15" x14ac:dyDescent="0.25"/>
  <cols>
    <col min="1" max="1" width="12" style="1" customWidth="1"/>
    <col min="2" max="2" width="18" style="1" customWidth="1"/>
    <col min="3" max="3" width="25.7109375" style="1" bestFit="1" customWidth="1"/>
    <col min="4" max="4" width="10.140625" style="1" customWidth="1"/>
    <col min="5" max="5" width="21.42578125" style="1" customWidth="1"/>
    <col min="6" max="6" width="15" style="1" customWidth="1"/>
    <col min="7" max="7" width="25.85546875" style="1" customWidth="1"/>
    <col min="8" max="8" width="29.85546875" style="1" customWidth="1"/>
    <col min="9" max="9" width="18.5703125" style="1" customWidth="1"/>
    <col min="10" max="16384" width="8.7109375" style="1"/>
  </cols>
  <sheetData>
    <row r="1" spans="1:9" ht="36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 x14ac:dyDescent="0.25">
      <c r="A2" s="17">
        <v>1</v>
      </c>
      <c r="B2" s="17" t="s">
        <v>9</v>
      </c>
      <c r="C2" s="17" t="s">
        <v>10</v>
      </c>
      <c r="D2" s="17">
        <v>90000</v>
      </c>
      <c r="E2" s="17" t="s">
        <v>11</v>
      </c>
      <c r="F2" s="17" t="s">
        <v>12</v>
      </c>
      <c r="G2" s="17">
        <v>6</v>
      </c>
      <c r="H2" s="17">
        <v>5</v>
      </c>
      <c r="I2" s="17">
        <f>G2*H2</f>
        <v>30</v>
      </c>
    </row>
    <row r="3" spans="1:9" x14ac:dyDescent="0.25">
      <c r="A3" s="17">
        <v>2</v>
      </c>
      <c r="B3" s="17" t="s">
        <v>13</v>
      </c>
      <c r="C3" s="17" t="s">
        <v>14</v>
      </c>
      <c r="D3" s="17">
        <v>90000</v>
      </c>
      <c r="E3" s="17" t="s">
        <v>11</v>
      </c>
      <c r="F3" s="17" t="s">
        <v>12</v>
      </c>
      <c r="G3" s="17">
        <v>6</v>
      </c>
      <c r="H3" s="17">
        <v>5</v>
      </c>
      <c r="I3" s="17">
        <f>G3*H3</f>
        <v>30</v>
      </c>
    </row>
    <row r="4" spans="1:9" x14ac:dyDescent="0.25">
      <c r="A4" s="17">
        <v>3</v>
      </c>
      <c r="B4" s="17" t="s">
        <v>15</v>
      </c>
      <c r="C4" s="17" t="s">
        <v>16</v>
      </c>
      <c r="D4" s="17">
        <v>90000</v>
      </c>
      <c r="E4" s="17" t="s">
        <v>11</v>
      </c>
      <c r="F4" s="17" t="s">
        <v>12</v>
      </c>
      <c r="G4" s="17">
        <v>6</v>
      </c>
      <c r="H4" s="17">
        <v>5</v>
      </c>
      <c r="I4" s="17">
        <f t="shared" ref="I4" si="0">G4*H4</f>
        <v>30</v>
      </c>
    </row>
    <row r="5" spans="1:9" x14ac:dyDescent="0.25">
      <c r="A5" s="17">
        <v>4</v>
      </c>
      <c r="B5" s="17" t="s">
        <v>17</v>
      </c>
      <c r="C5" s="17" t="s">
        <v>18</v>
      </c>
      <c r="D5" s="17">
        <v>70000</v>
      </c>
      <c r="E5" s="17" t="s">
        <v>11</v>
      </c>
      <c r="F5" s="17" t="s">
        <v>19</v>
      </c>
      <c r="G5" s="17">
        <v>8</v>
      </c>
      <c r="H5" s="17">
        <v>5</v>
      </c>
      <c r="I5" s="17">
        <f>G5*H5</f>
        <v>40</v>
      </c>
    </row>
    <row r="6" spans="1:9" x14ac:dyDescent="0.25">
      <c r="A6" s="17">
        <v>5</v>
      </c>
      <c r="B6" s="17" t="s">
        <v>20</v>
      </c>
      <c r="C6" s="17" t="s">
        <v>21</v>
      </c>
      <c r="D6" s="17">
        <v>70000</v>
      </c>
      <c r="E6" s="17" t="s">
        <v>22</v>
      </c>
      <c r="F6" s="17" t="s">
        <v>19</v>
      </c>
      <c r="G6" s="17">
        <v>8</v>
      </c>
      <c r="H6" s="17">
        <v>5</v>
      </c>
      <c r="I6" s="17">
        <f>G6*H6</f>
        <v>40</v>
      </c>
    </row>
    <row r="7" spans="1:9" x14ac:dyDescent="0.25">
      <c r="A7" s="17">
        <v>6</v>
      </c>
      <c r="B7" s="17" t="s">
        <v>23</v>
      </c>
      <c r="C7" s="17" t="s">
        <v>24</v>
      </c>
      <c r="D7" s="17">
        <v>70000</v>
      </c>
      <c r="E7" s="17" t="s">
        <v>11</v>
      </c>
      <c r="F7" s="17" t="s">
        <v>19</v>
      </c>
      <c r="G7" s="17">
        <v>6</v>
      </c>
      <c r="H7" s="17">
        <v>5</v>
      </c>
      <c r="I7" s="17">
        <f>G7*H7</f>
        <v>30</v>
      </c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zoomScale="115" zoomScaleNormal="115" workbookViewId="0">
      <selection activeCell="A2" sqref="A2:C49"/>
    </sheetView>
  </sheetViews>
  <sheetFormatPr defaultColWidth="8.7109375" defaultRowHeight="15" x14ac:dyDescent="0.25"/>
  <cols>
    <col min="1" max="1" width="28.42578125" style="3" customWidth="1"/>
    <col min="2" max="2" width="37.42578125" style="3" customWidth="1"/>
    <col min="3" max="3" width="26.7109375" style="4" customWidth="1"/>
    <col min="4" max="16384" width="8.7109375" style="3"/>
  </cols>
  <sheetData>
    <row r="1" spans="1:3" ht="39" customHeight="1" x14ac:dyDescent="0.25">
      <c r="A1" s="15" t="s">
        <v>25</v>
      </c>
      <c r="B1" s="15" t="s">
        <v>26</v>
      </c>
      <c r="C1" s="16" t="s">
        <v>126</v>
      </c>
    </row>
    <row r="2" spans="1:3" x14ac:dyDescent="0.25">
      <c r="A2" s="17" t="s">
        <v>27</v>
      </c>
      <c r="B2" s="17" t="s">
        <v>28</v>
      </c>
      <c r="C2" s="18">
        <v>300</v>
      </c>
    </row>
    <row r="3" spans="1:3" x14ac:dyDescent="0.25">
      <c r="A3" s="17" t="s">
        <v>27</v>
      </c>
      <c r="B3" s="17" t="s">
        <v>29</v>
      </c>
      <c r="C3" s="18">
        <v>700</v>
      </c>
    </row>
    <row r="4" spans="1:3" x14ac:dyDescent="0.25">
      <c r="A4" s="17" t="s">
        <v>27</v>
      </c>
      <c r="B4" s="17" t="s">
        <v>30</v>
      </c>
      <c r="C4" s="18">
        <v>1500</v>
      </c>
    </row>
    <row r="5" spans="1:3" x14ac:dyDescent="0.25">
      <c r="A5" s="17" t="s">
        <v>31</v>
      </c>
      <c r="B5" s="17" t="s">
        <v>28</v>
      </c>
      <c r="C5" s="18">
        <v>350</v>
      </c>
    </row>
    <row r="6" spans="1:3" x14ac:dyDescent="0.25">
      <c r="A6" s="17" t="s">
        <v>31</v>
      </c>
      <c r="B6" s="17" t="s">
        <v>29</v>
      </c>
      <c r="C6" s="18">
        <v>900</v>
      </c>
    </row>
    <row r="7" spans="1:3" x14ac:dyDescent="0.25">
      <c r="A7" s="17" t="s">
        <v>31</v>
      </c>
      <c r="B7" s="17" t="s">
        <v>30</v>
      </c>
      <c r="C7" s="18">
        <v>1900</v>
      </c>
    </row>
    <row r="8" spans="1:3" x14ac:dyDescent="0.25">
      <c r="A8" s="17" t="s">
        <v>32</v>
      </c>
      <c r="B8" s="17" t="s">
        <v>28</v>
      </c>
      <c r="C8" s="18">
        <v>100</v>
      </c>
    </row>
    <row r="9" spans="1:3" x14ac:dyDescent="0.25">
      <c r="A9" s="17" t="s">
        <v>32</v>
      </c>
      <c r="B9" s="17" t="s">
        <v>29</v>
      </c>
      <c r="C9" s="18">
        <v>200</v>
      </c>
    </row>
    <row r="10" spans="1:3" x14ac:dyDescent="0.25">
      <c r="A10" s="17" t="s">
        <v>32</v>
      </c>
      <c r="B10" s="17" t="s">
        <v>30</v>
      </c>
      <c r="C10" s="18">
        <v>500</v>
      </c>
    </row>
    <row r="11" spans="1:3" x14ac:dyDescent="0.25">
      <c r="A11" s="17" t="s">
        <v>33</v>
      </c>
      <c r="B11" s="17" t="s">
        <v>28</v>
      </c>
      <c r="C11" s="18">
        <v>300</v>
      </c>
    </row>
    <row r="12" spans="1:3" x14ac:dyDescent="0.25">
      <c r="A12" s="17" t="s">
        <v>33</v>
      </c>
      <c r="B12" s="17" t="s">
        <v>29</v>
      </c>
      <c r="C12" s="18">
        <v>700</v>
      </c>
    </row>
    <row r="13" spans="1:3" x14ac:dyDescent="0.25">
      <c r="A13" s="17" t="s">
        <v>33</v>
      </c>
      <c r="B13" s="17" t="s">
        <v>30</v>
      </c>
      <c r="C13" s="18">
        <v>1500</v>
      </c>
    </row>
    <row r="14" spans="1:3" x14ac:dyDescent="0.25">
      <c r="A14" s="17" t="s">
        <v>34</v>
      </c>
      <c r="B14" s="17" t="s">
        <v>28</v>
      </c>
      <c r="C14" s="18">
        <v>50</v>
      </c>
    </row>
    <row r="15" spans="1:3" x14ac:dyDescent="0.25">
      <c r="A15" s="17" t="s">
        <v>34</v>
      </c>
      <c r="B15" s="17" t="s">
        <v>29</v>
      </c>
      <c r="C15" s="18">
        <v>100</v>
      </c>
    </row>
    <row r="16" spans="1:3" x14ac:dyDescent="0.25">
      <c r="A16" s="17" t="s">
        <v>34</v>
      </c>
      <c r="B16" s="17" t="s">
        <v>30</v>
      </c>
      <c r="C16" s="18">
        <v>250</v>
      </c>
    </row>
    <row r="17" spans="1:3" x14ac:dyDescent="0.25">
      <c r="A17" s="17" t="s">
        <v>35</v>
      </c>
      <c r="B17" s="17" t="s">
        <v>28</v>
      </c>
      <c r="C17" s="18">
        <v>90</v>
      </c>
    </row>
    <row r="18" spans="1:3" x14ac:dyDescent="0.25">
      <c r="A18" s="17" t="s">
        <v>35</v>
      </c>
      <c r="B18" s="17" t="s">
        <v>29</v>
      </c>
      <c r="C18" s="18">
        <v>200</v>
      </c>
    </row>
    <row r="19" spans="1:3" x14ac:dyDescent="0.25">
      <c r="A19" s="17" t="s">
        <v>35</v>
      </c>
      <c r="B19" s="17" t="s">
        <v>30</v>
      </c>
      <c r="C19" s="18">
        <v>500</v>
      </c>
    </row>
    <row r="20" spans="1:3" x14ac:dyDescent="0.25">
      <c r="A20" s="17" t="s">
        <v>36</v>
      </c>
      <c r="B20" s="17" t="s">
        <v>28</v>
      </c>
      <c r="C20" s="18">
        <v>100</v>
      </c>
    </row>
    <row r="21" spans="1:3" x14ac:dyDescent="0.25">
      <c r="A21" s="17" t="s">
        <v>36</v>
      </c>
      <c r="B21" s="17" t="s">
        <v>29</v>
      </c>
      <c r="C21" s="18">
        <v>200</v>
      </c>
    </row>
    <row r="22" spans="1:3" x14ac:dyDescent="0.25">
      <c r="A22" s="17" t="s">
        <v>36</v>
      </c>
      <c r="B22" s="17" t="s">
        <v>30</v>
      </c>
      <c r="C22" s="18">
        <v>500</v>
      </c>
    </row>
    <row r="23" spans="1:3" x14ac:dyDescent="0.25">
      <c r="A23" s="17" t="s">
        <v>37</v>
      </c>
      <c r="B23" s="17" t="s">
        <v>28</v>
      </c>
      <c r="C23" s="18">
        <v>300</v>
      </c>
    </row>
    <row r="24" spans="1:3" x14ac:dyDescent="0.25">
      <c r="A24" s="17" t="s">
        <v>37</v>
      </c>
      <c r="B24" s="17" t="s">
        <v>29</v>
      </c>
      <c r="C24" s="18">
        <v>700</v>
      </c>
    </row>
    <row r="25" spans="1:3" x14ac:dyDescent="0.25">
      <c r="A25" s="17" t="s">
        <v>37</v>
      </c>
      <c r="B25" s="17" t="s">
        <v>30</v>
      </c>
      <c r="C25" s="18">
        <v>1500</v>
      </c>
    </row>
    <row r="26" spans="1:3" x14ac:dyDescent="0.25">
      <c r="A26" s="17" t="s">
        <v>38</v>
      </c>
      <c r="B26" s="17" t="s">
        <v>28</v>
      </c>
      <c r="C26" s="18">
        <v>50</v>
      </c>
    </row>
    <row r="27" spans="1:3" x14ac:dyDescent="0.25">
      <c r="A27" s="17" t="s">
        <v>38</v>
      </c>
      <c r="B27" s="17" t="s">
        <v>29</v>
      </c>
      <c r="C27" s="18">
        <v>100</v>
      </c>
    </row>
    <row r="28" spans="1:3" x14ac:dyDescent="0.25">
      <c r="A28" s="17" t="s">
        <v>38</v>
      </c>
      <c r="B28" s="17" t="s">
        <v>30</v>
      </c>
      <c r="C28" s="18">
        <v>200</v>
      </c>
    </row>
    <row r="29" spans="1:3" x14ac:dyDescent="0.25">
      <c r="A29" s="17" t="s">
        <v>39</v>
      </c>
      <c r="B29" s="17" t="s">
        <v>28</v>
      </c>
      <c r="C29" s="18">
        <v>50</v>
      </c>
    </row>
    <row r="30" spans="1:3" x14ac:dyDescent="0.25">
      <c r="A30" s="17" t="s">
        <v>39</v>
      </c>
      <c r="B30" s="17" t="s">
        <v>29</v>
      </c>
      <c r="C30" s="18">
        <v>100</v>
      </c>
    </row>
    <row r="31" spans="1:3" x14ac:dyDescent="0.25">
      <c r="A31" s="17" t="s">
        <v>39</v>
      </c>
      <c r="B31" s="17" t="s">
        <v>30</v>
      </c>
      <c r="C31" s="18">
        <v>200</v>
      </c>
    </row>
    <row r="32" spans="1:3" x14ac:dyDescent="0.25">
      <c r="A32" s="17" t="s">
        <v>40</v>
      </c>
      <c r="B32" s="17" t="s">
        <v>28</v>
      </c>
      <c r="C32" s="18">
        <v>50</v>
      </c>
    </row>
    <row r="33" spans="1:3" x14ac:dyDescent="0.25">
      <c r="A33" s="17" t="s">
        <v>40</v>
      </c>
      <c r="B33" s="17" t="s">
        <v>29</v>
      </c>
      <c r="C33" s="18">
        <v>100</v>
      </c>
    </row>
    <row r="34" spans="1:3" x14ac:dyDescent="0.25">
      <c r="A34" s="17" t="s">
        <v>40</v>
      </c>
      <c r="B34" s="17" t="s">
        <v>30</v>
      </c>
      <c r="C34" s="18">
        <v>200</v>
      </c>
    </row>
    <row r="35" spans="1:3" x14ac:dyDescent="0.25">
      <c r="A35" s="17" t="s">
        <v>41</v>
      </c>
      <c r="B35" s="17" t="s">
        <v>28</v>
      </c>
      <c r="C35" s="18">
        <v>100</v>
      </c>
    </row>
    <row r="36" spans="1:3" x14ac:dyDescent="0.25">
      <c r="A36" s="17" t="s">
        <v>41</v>
      </c>
      <c r="B36" s="17" t="s">
        <v>29</v>
      </c>
      <c r="C36" s="18">
        <v>200</v>
      </c>
    </row>
    <row r="37" spans="1:3" x14ac:dyDescent="0.25">
      <c r="A37" s="17" t="s">
        <v>41</v>
      </c>
      <c r="B37" s="17" t="s">
        <v>30</v>
      </c>
      <c r="C37" s="18">
        <v>500</v>
      </c>
    </row>
    <row r="38" spans="1:3" x14ac:dyDescent="0.25">
      <c r="A38" s="17" t="s">
        <v>42</v>
      </c>
      <c r="B38" s="17" t="s">
        <v>28</v>
      </c>
      <c r="C38" s="18">
        <v>100</v>
      </c>
    </row>
    <row r="39" spans="1:3" x14ac:dyDescent="0.25">
      <c r="A39" s="17" t="s">
        <v>42</v>
      </c>
      <c r="B39" s="17" t="s">
        <v>29</v>
      </c>
      <c r="C39" s="18">
        <v>200</v>
      </c>
    </row>
    <row r="40" spans="1:3" x14ac:dyDescent="0.25">
      <c r="A40" s="17" t="s">
        <v>42</v>
      </c>
      <c r="B40" s="17" t="s">
        <v>30</v>
      </c>
      <c r="C40" s="18">
        <v>500</v>
      </c>
    </row>
    <row r="41" spans="1:3" x14ac:dyDescent="0.25">
      <c r="A41" s="17" t="s">
        <v>43</v>
      </c>
      <c r="B41" s="17" t="s">
        <v>28</v>
      </c>
      <c r="C41" s="18">
        <v>50</v>
      </c>
    </row>
    <row r="42" spans="1:3" x14ac:dyDescent="0.25">
      <c r="A42" s="17" t="s">
        <v>43</v>
      </c>
      <c r="B42" s="17" t="s">
        <v>29</v>
      </c>
      <c r="C42" s="18">
        <v>100</v>
      </c>
    </row>
    <row r="43" spans="1:3" x14ac:dyDescent="0.25">
      <c r="A43" s="17" t="s">
        <v>43</v>
      </c>
      <c r="B43" s="17" t="s">
        <v>30</v>
      </c>
      <c r="C43" s="18">
        <v>150</v>
      </c>
    </row>
    <row r="44" spans="1:3" x14ac:dyDescent="0.25">
      <c r="A44" s="17" t="s">
        <v>44</v>
      </c>
      <c r="B44" s="17" t="s">
        <v>28</v>
      </c>
      <c r="C44" s="18">
        <v>100</v>
      </c>
    </row>
    <row r="45" spans="1:3" x14ac:dyDescent="0.25">
      <c r="A45" s="17" t="s">
        <v>44</v>
      </c>
      <c r="B45" s="17" t="s">
        <v>29</v>
      </c>
      <c r="C45" s="18">
        <v>300</v>
      </c>
    </row>
    <row r="46" spans="1:3" x14ac:dyDescent="0.25">
      <c r="A46" s="17" t="s">
        <v>44</v>
      </c>
      <c r="B46" s="17" t="s">
        <v>30</v>
      </c>
      <c r="C46" s="18">
        <v>500</v>
      </c>
    </row>
    <row r="47" spans="1:3" x14ac:dyDescent="0.25">
      <c r="A47" s="17" t="s">
        <v>45</v>
      </c>
      <c r="B47" s="17" t="s">
        <v>28</v>
      </c>
      <c r="C47" s="18">
        <v>100</v>
      </c>
    </row>
    <row r="48" spans="1:3" x14ac:dyDescent="0.25">
      <c r="A48" s="17" t="s">
        <v>45</v>
      </c>
      <c r="B48" s="17" t="s">
        <v>29</v>
      </c>
      <c r="C48" s="18">
        <v>200</v>
      </c>
    </row>
    <row r="49" spans="1:3" x14ac:dyDescent="0.25">
      <c r="A49" s="17" t="s">
        <v>45</v>
      </c>
      <c r="B49" s="17" t="s">
        <v>30</v>
      </c>
      <c r="C49" s="18">
        <v>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16" sqref="D16"/>
    </sheetView>
  </sheetViews>
  <sheetFormatPr defaultRowHeight="15" x14ac:dyDescent="0.25"/>
  <cols>
    <col min="1" max="1" width="14.42578125" customWidth="1"/>
    <col min="2" max="2" width="26.42578125" customWidth="1"/>
    <col min="3" max="3" width="9.5703125" customWidth="1"/>
    <col min="4" max="4" width="10.42578125" customWidth="1"/>
    <col min="5" max="5" width="12.85546875" customWidth="1"/>
    <col min="6" max="6" width="17.7109375" customWidth="1"/>
  </cols>
  <sheetData>
    <row r="1" spans="1:6" ht="30" customHeight="1" x14ac:dyDescent="0.25">
      <c r="A1" s="34" t="s">
        <v>47</v>
      </c>
      <c r="B1" s="34" t="s">
        <v>121</v>
      </c>
      <c r="C1" s="34" t="s">
        <v>118</v>
      </c>
      <c r="D1" s="34" t="s">
        <v>119</v>
      </c>
      <c r="E1" s="34" t="s">
        <v>120</v>
      </c>
      <c r="F1" s="34" t="s">
        <v>112</v>
      </c>
    </row>
    <row r="2" spans="1:6" x14ac:dyDescent="0.25">
      <c r="A2" s="20" t="s">
        <v>51</v>
      </c>
      <c r="B2" s="21">
        <v>480000</v>
      </c>
      <c r="C2" s="22">
        <v>50000</v>
      </c>
      <c r="D2" s="20">
        <v>65000</v>
      </c>
      <c r="E2" s="20">
        <v>50000</v>
      </c>
      <c r="F2" s="21">
        <f>B2+C2+D2+E2</f>
        <v>645000</v>
      </c>
    </row>
    <row r="3" spans="1:6" x14ac:dyDescent="0.25">
      <c r="A3" s="20" t="s">
        <v>73</v>
      </c>
      <c r="B3" s="21">
        <v>480000</v>
      </c>
      <c r="C3" s="22">
        <v>50000</v>
      </c>
      <c r="D3" s="20">
        <v>40000</v>
      </c>
      <c r="E3" s="20">
        <v>10000</v>
      </c>
      <c r="F3" s="20">
        <f t="shared" ref="F3:F7" si="0">B3+C3+D3+E3</f>
        <v>580000</v>
      </c>
    </row>
    <row r="4" spans="1:6" x14ac:dyDescent="0.25">
      <c r="A4" s="20" t="s">
        <v>93</v>
      </c>
      <c r="B4" s="21">
        <v>480000</v>
      </c>
      <c r="C4" s="22">
        <v>50000</v>
      </c>
      <c r="D4" s="20">
        <v>59999</v>
      </c>
      <c r="E4" s="20">
        <v>30000</v>
      </c>
      <c r="F4" s="20">
        <f t="shared" si="0"/>
        <v>619999</v>
      </c>
    </row>
    <row r="5" spans="1:6" x14ac:dyDescent="0.25">
      <c r="A5" s="20" t="s">
        <v>113</v>
      </c>
      <c r="B5" s="21">
        <v>480000</v>
      </c>
      <c r="C5" s="22">
        <v>50000</v>
      </c>
      <c r="D5" s="20">
        <v>80000</v>
      </c>
      <c r="E5" s="20">
        <v>40000</v>
      </c>
      <c r="F5" s="20">
        <f t="shared" si="0"/>
        <v>650000</v>
      </c>
    </row>
    <row r="6" spans="1:6" x14ac:dyDescent="0.25">
      <c r="A6" s="20" t="s">
        <v>114</v>
      </c>
      <c r="B6" s="21">
        <v>480000</v>
      </c>
      <c r="C6" s="22">
        <v>50000</v>
      </c>
      <c r="D6" s="20">
        <v>90000</v>
      </c>
      <c r="E6" s="20">
        <v>15000</v>
      </c>
      <c r="F6" s="20">
        <f t="shared" si="0"/>
        <v>635000</v>
      </c>
    </row>
    <row r="7" spans="1:6" x14ac:dyDescent="0.25">
      <c r="A7" s="20" t="s">
        <v>115</v>
      </c>
      <c r="B7" s="21">
        <v>480000</v>
      </c>
      <c r="C7" s="22">
        <v>50000</v>
      </c>
      <c r="D7" s="20">
        <v>40000</v>
      </c>
      <c r="E7" s="20">
        <v>25000</v>
      </c>
      <c r="F7" s="20">
        <f t="shared" si="0"/>
        <v>595000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topLeftCell="A33" zoomScaleNormal="100" workbookViewId="0">
      <selection activeCell="C4" sqref="C4"/>
    </sheetView>
  </sheetViews>
  <sheetFormatPr defaultColWidth="8.7109375" defaultRowHeight="15" x14ac:dyDescent="0.25"/>
  <cols>
    <col min="1" max="1" width="11.140625" style="1" customWidth="1"/>
    <col min="2" max="2" width="21.5703125" style="1" customWidth="1"/>
    <col min="3" max="3" width="47.140625" style="1" customWidth="1"/>
    <col min="4" max="4" width="17.7109375" style="7" customWidth="1"/>
    <col min="5" max="5" width="28.85546875" style="1" customWidth="1"/>
    <col min="6" max="6" width="21.5703125" style="8" customWidth="1"/>
    <col min="7" max="7" width="23.140625" style="9" customWidth="1"/>
    <col min="8" max="9" width="27.5703125" style="1" customWidth="1"/>
    <col min="10" max="10" width="4.5703125" style="1" customWidth="1"/>
    <col min="11" max="11" width="6.28515625" style="1" customWidth="1"/>
    <col min="12" max="12" width="19.42578125" style="1" customWidth="1"/>
    <col min="13" max="13" width="8.42578125" style="1" customWidth="1"/>
    <col min="14" max="16384" width="8.7109375" style="1"/>
  </cols>
  <sheetData>
    <row r="1" spans="1:14" ht="15" customHeight="1" x14ac:dyDescent="0.25">
      <c r="A1" s="35" t="s">
        <v>46</v>
      </c>
      <c r="B1" s="36"/>
      <c r="C1" s="36"/>
      <c r="D1" s="36"/>
      <c r="E1" s="36"/>
      <c r="F1" s="36"/>
      <c r="G1" s="36"/>
      <c r="H1" s="36"/>
      <c r="I1" s="36"/>
      <c r="J1"/>
      <c r="K1"/>
      <c r="L1"/>
      <c r="M1"/>
      <c r="N1" s="5"/>
    </row>
    <row r="2" spans="1:14" ht="1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/>
      <c r="K2"/>
      <c r="L2"/>
      <c r="M2"/>
    </row>
    <row r="3" spans="1:14" ht="29.25" customHeight="1" x14ac:dyDescent="0.25">
      <c r="A3" s="23" t="s">
        <v>47</v>
      </c>
      <c r="B3" s="24" t="s">
        <v>125</v>
      </c>
      <c r="C3" s="23" t="s">
        <v>48</v>
      </c>
      <c r="D3" s="23" t="s">
        <v>49</v>
      </c>
      <c r="E3" s="25" t="s">
        <v>122</v>
      </c>
      <c r="F3" s="23" t="s">
        <v>50</v>
      </c>
      <c r="G3" s="25" t="s">
        <v>129</v>
      </c>
      <c r="H3" s="26" t="s">
        <v>130</v>
      </c>
      <c r="I3" s="26" t="s">
        <v>123</v>
      </c>
      <c r="J3"/>
      <c r="K3"/>
      <c r="L3"/>
      <c r="M3"/>
    </row>
    <row r="4" spans="1:14" x14ac:dyDescent="0.25">
      <c r="A4" s="27" t="s">
        <v>51</v>
      </c>
      <c r="B4" s="28">
        <v>45839</v>
      </c>
      <c r="C4" s="27" t="s">
        <v>52</v>
      </c>
      <c r="D4" s="27" t="s">
        <v>53</v>
      </c>
      <c r="E4" s="29">
        <v>700</v>
      </c>
      <c r="F4" s="27" t="s">
        <v>54</v>
      </c>
      <c r="G4" s="29">
        <f>E4*10%</f>
        <v>70</v>
      </c>
      <c r="H4" s="29">
        <f>E4-G4</f>
        <v>630</v>
      </c>
      <c r="I4" s="30">
        <f>H4*277</f>
        <v>174510</v>
      </c>
      <c r="J4" s="3"/>
      <c r="K4" s="6"/>
      <c r="L4" s="11"/>
    </row>
    <row r="5" spans="1:14" ht="13.5" customHeight="1" x14ac:dyDescent="0.25">
      <c r="A5" s="27" t="s">
        <v>51</v>
      </c>
      <c r="B5" s="28">
        <v>45842</v>
      </c>
      <c r="C5" s="27" t="s">
        <v>55</v>
      </c>
      <c r="D5" s="27" t="s">
        <v>56</v>
      </c>
      <c r="E5" s="29">
        <v>750</v>
      </c>
      <c r="F5" s="27" t="s">
        <v>54</v>
      </c>
      <c r="G5" s="29">
        <f t="shared" ref="G5:G60" si="0">E5*10%</f>
        <v>75</v>
      </c>
      <c r="H5" s="29">
        <f t="shared" ref="H5:H60" si="1">E5-G5</f>
        <v>675</v>
      </c>
      <c r="I5" s="30">
        <f t="shared" ref="I5:I60" si="2">H5*277</f>
        <v>186975</v>
      </c>
      <c r="J5" s="3"/>
      <c r="K5" s="6"/>
      <c r="L5" s="3"/>
    </row>
    <row r="6" spans="1:14" x14ac:dyDescent="0.25">
      <c r="A6" s="27" t="s">
        <v>51</v>
      </c>
      <c r="B6" s="28">
        <v>45845</v>
      </c>
      <c r="C6" s="27" t="s">
        <v>57</v>
      </c>
      <c r="D6" s="27" t="s">
        <v>58</v>
      </c>
      <c r="E6" s="29">
        <v>600</v>
      </c>
      <c r="F6" s="27" t="s">
        <v>54</v>
      </c>
      <c r="G6" s="29">
        <f t="shared" si="0"/>
        <v>60</v>
      </c>
      <c r="H6" s="29">
        <f t="shared" si="1"/>
        <v>540</v>
      </c>
      <c r="I6" s="30">
        <f t="shared" si="2"/>
        <v>149580</v>
      </c>
      <c r="J6" s="3"/>
      <c r="K6" s="6"/>
      <c r="L6" s="3"/>
    </row>
    <row r="7" spans="1:14" x14ac:dyDescent="0.25">
      <c r="A7" s="27" t="s">
        <v>51</v>
      </c>
      <c r="B7" s="28">
        <v>45848</v>
      </c>
      <c r="C7" s="27" t="s">
        <v>59</v>
      </c>
      <c r="D7" s="27" t="s">
        <v>60</v>
      </c>
      <c r="E7" s="29">
        <v>800</v>
      </c>
      <c r="F7" s="27" t="s">
        <v>54</v>
      </c>
      <c r="G7" s="29">
        <f t="shared" si="0"/>
        <v>80</v>
      </c>
      <c r="H7" s="29">
        <f t="shared" si="1"/>
        <v>720</v>
      </c>
      <c r="I7" s="30">
        <f t="shared" si="2"/>
        <v>199440</v>
      </c>
      <c r="J7" s="3"/>
      <c r="K7" s="6"/>
      <c r="L7" s="13"/>
    </row>
    <row r="8" spans="1:14" x14ac:dyDescent="0.25">
      <c r="A8" s="27" t="s">
        <v>51</v>
      </c>
      <c r="B8" s="28">
        <v>45851</v>
      </c>
      <c r="C8" s="27" t="s">
        <v>61</v>
      </c>
      <c r="D8" s="27" t="s">
        <v>62</v>
      </c>
      <c r="E8" s="29">
        <v>850</v>
      </c>
      <c r="F8" s="27" t="s">
        <v>54</v>
      </c>
      <c r="G8" s="29">
        <f t="shared" si="0"/>
        <v>85</v>
      </c>
      <c r="H8" s="29">
        <f t="shared" si="1"/>
        <v>765</v>
      </c>
      <c r="I8" s="30">
        <f t="shared" si="2"/>
        <v>211905</v>
      </c>
      <c r="J8" s="3"/>
      <c r="K8" s="6"/>
      <c r="L8" s="3"/>
    </row>
    <row r="9" spans="1:14" x14ac:dyDescent="0.25">
      <c r="A9" s="27" t="s">
        <v>51</v>
      </c>
      <c r="B9" s="28">
        <v>45854</v>
      </c>
      <c r="C9" s="27" t="s">
        <v>63</v>
      </c>
      <c r="D9" s="27" t="s">
        <v>64</v>
      </c>
      <c r="E9" s="29">
        <v>700</v>
      </c>
      <c r="F9" s="27" t="s">
        <v>54</v>
      </c>
      <c r="G9" s="29">
        <f t="shared" si="0"/>
        <v>70</v>
      </c>
      <c r="H9" s="29">
        <f t="shared" si="1"/>
        <v>630</v>
      </c>
      <c r="I9" s="30">
        <f t="shared" si="2"/>
        <v>174510</v>
      </c>
      <c r="J9" s="3"/>
      <c r="K9" s="6"/>
      <c r="L9" s="3"/>
    </row>
    <row r="10" spans="1:14" x14ac:dyDescent="0.25">
      <c r="A10" s="27" t="s">
        <v>51</v>
      </c>
      <c r="B10" s="28">
        <v>45857</v>
      </c>
      <c r="C10" s="27" t="s">
        <v>65</v>
      </c>
      <c r="D10" s="27" t="s">
        <v>66</v>
      </c>
      <c r="E10" s="29">
        <v>150</v>
      </c>
      <c r="F10" s="27" t="s">
        <v>54</v>
      </c>
      <c r="G10" s="29">
        <f t="shared" si="0"/>
        <v>15</v>
      </c>
      <c r="H10" s="29">
        <f t="shared" si="1"/>
        <v>135</v>
      </c>
      <c r="I10" s="30">
        <f t="shared" si="2"/>
        <v>37395</v>
      </c>
      <c r="J10" s="3"/>
      <c r="K10" s="6"/>
      <c r="L10" s="12"/>
    </row>
    <row r="11" spans="1:14" x14ac:dyDescent="0.25">
      <c r="A11" s="27" t="s">
        <v>51</v>
      </c>
      <c r="B11" s="28">
        <v>45860</v>
      </c>
      <c r="C11" s="27" t="s">
        <v>67</v>
      </c>
      <c r="D11" s="27" t="s">
        <v>68</v>
      </c>
      <c r="E11" s="29">
        <v>500</v>
      </c>
      <c r="F11" s="27" t="s">
        <v>54</v>
      </c>
      <c r="G11" s="29">
        <f t="shared" si="0"/>
        <v>50</v>
      </c>
      <c r="H11" s="29">
        <f t="shared" si="1"/>
        <v>450</v>
      </c>
      <c r="I11" s="30">
        <f t="shared" si="2"/>
        <v>124650</v>
      </c>
      <c r="J11" s="3"/>
      <c r="K11" s="6"/>
      <c r="L11" s="13"/>
    </row>
    <row r="12" spans="1:14" x14ac:dyDescent="0.25">
      <c r="A12" s="27" t="s">
        <v>51</v>
      </c>
      <c r="B12" s="28">
        <v>45863</v>
      </c>
      <c r="C12" s="27" t="s">
        <v>69</v>
      </c>
      <c r="D12" s="27" t="s">
        <v>70</v>
      </c>
      <c r="E12" s="29">
        <v>1200</v>
      </c>
      <c r="F12" s="27" t="s">
        <v>54</v>
      </c>
      <c r="G12" s="29">
        <f t="shared" si="0"/>
        <v>120</v>
      </c>
      <c r="H12" s="29">
        <f t="shared" si="1"/>
        <v>1080</v>
      </c>
      <c r="I12" s="30">
        <f t="shared" si="2"/>
        <v>299160</v>
      </c>
      <c r="J12" s="3"/>
      <c r="K12" s="6"/>
      <c r="L12" s="11"/>
    </row>
    <row r="13" spans="1:14" x14ac:dyDescent="0.25">
      <c r="A13" s="27" t="s">
        <v>51</v>
      </c>
      <c r="B13" s="28">
        <v>45866</v>
      </c>
      <c r="C13" s="27" t="s">
        <v>71</v>
      </c>
      <c r="D13" s="27" t="s">
        <v>72</v>
      </c>
      <c r="E13" s="29">
        <v>650</v>
      </c>
      <c r="F13" s="27" t="s">
        <v>54</v>
      </c>
      <c r="G13" s="29">
        <f t="shared" si="0"/>
        <v>65</v>
      </c>
      <c r="H13" s="29">
        <f t="shared" si="1"/>
        <v>585</v>
      </c>
      <c r="I13" s="30">
        <f t="shared" si="2"/>
        <v>162045</v>
      </c>
      <c r="J13" s="3"/>
      <c r="K13" s="6"/>
      <c r="L13" s="11"/>
    </row>
    <row r="14" spans="1:14" x14ac:dyDescent="0.25">
      <c r="A14" s="27" t="s">
        <v>73</v>
      </c>
      <c r="B14" s="28">
        <v>45870</v>
      </c>
      <c r="C14" s="27" t="s">
        <v>74</v>
      </c>
      <c r="D14" s="27" t="s">
        <v>75</v>
      </c>
      <c r="E14" s="29">
        <v>400</v>
      </c>
      <c r="F14" s="27" t="s">
        <v>54</v>
      </c>
      <c r="G14" s="29">
        <f t="shared" si="0"/>
        <v>40</v>
      </c>
      <c r="H14" s="29">
        <f t="shared" si="1"/>
        <v>360</v>
      </c>
      <c r="I14" s="30">
        <f t="shared" si="2"/>
        <v>99720</v>
      </c>
      <c r="J14" s="3"/>
      <c r="K14" s="6"/>
      <c r="L14" s="11"/>
    </row>
    <row r="15" spans="1:14" x14ac:dyDescent="0.25">
      <c r="A15" s="27" t="s">
        <v>73</v>
      </c>
      <c r="B15" s="28">
        <v>45872</v>
      </c>
      <c r="C15" s="27" t="s">
        <v>76</v>
      </c>
      <c r="D15" s="27" t="s">
        <v>77</v>
      </c>
      <c r="E15" s="29">
        <v>200</v>
      </c>
      <c r="F15" s="27" t="s">
        <v>54</v>
      </c>
      <c r="G15" s="29">
        <f t="shared" si="0"/>
        <v>20</v>
      </c>
      <c r="H15" s="29">
        <f t="shared" si="1"/>
        <v>180</v>
      </c>
      <c r="I15" s="30">
        <f t="shared" si="2"/>
        <v>49860</v>
      </c>
      <c r="J15" s="3"/>
      <c r="K15" s="6"/>
      <c r="L15" s="11"/>
    </row>
    <row r="16" spans="1:14" x14ac:dyDescent="0.25">
      <c r="A16" s="27" t="s">
        <v>73</v>
      </c>
      <c r="B16" s="28">
        <v>45875</v>
      </c>
      <c r="C16" s="27" t="s">
        <v>78</v>
      </c>
      <c r="D16" s="27" t="s">
        <v>79</v>
      </c>
      <c r="E16" s="29">
        <v>100</v>
      </c>
      <c r="F16" s="27" t="s">
        <v>54</v>
      </c>
      <c r="G16" s="29">
        <f t="shared" si="0"/>
        <v>10</v>
      </c>
      <c r="H16" s="29">
        <f t="shared" si="1"/>
        <v>90</v>
      </c>
      <c r="I16" s="30">
        <f t="shared" si="2"/>
        <v>24930</v>
      </c>
      <c r="J16" s="3"/>
      <c r="K16" s="6"/>
      <c r="L16" s="11"/>
    </row>
    <row r="17" spans="1:12" x14ac:dyDescent="0.25">
      <c r="A17" s="27" t="s">
        <v>73</v>
      </c>
      <c r="B17" s="28">
        <v>45878</v>
      </c>
      <c r="C17" s="27" t="s">
        <v>80</v>
      </c>
      <c r="D17" s="27" t="s">
        <v>81</v>
      </c>
      <c r="E17" s="29">
        <v>1350</v>
      </c>
      <c r="F17" s="27" t="s">
        <v>54</v>
      </c>
      <c r="G17" s="29">
        <f t="shared" si="0"/>
        <v>135</v>
      </c>
      <c r="H17" s="29">
        <f t="shared" si="1"/>
        <v>1215</v>
      </c>
      <c r="I17" s="30">
        <f t="shared" si="2"/>
        <v>336555</v>
      </c>
      <c r="J17" s="3"/>
      <c r="K17" s="6"/>
      <c r="L17" s="3"/>
    </row>
    <row r="18" spans="1:12" x14ac:dyDescent="0.25">
      <c r="A18" s="27" t="s">
        <v>73</v>
      </c>
      <c r="B18" s="28">
        <v>45881</v>
      </c>
      <c r="C18" s="27" t="s">
        <v>82</v>
      </c>
      <c r="D18" s="27" t="s">
        <v>83</v>
      </c>
      <c r="E18" s="29">
        <v>700</v>
      </c>
      <c r="F18" s="27" t="s">
        <v>54</v>
      </c>
      <c r="G18" s="29">
        <f t="shared" si="0"/>
        <v>70</v>
      </c>
      <c r="H18" s="29">
        <f t="shared" si="1"/>
        <v>630</v>
      </c>
      <c r="I18" s="30">
        <f t="shared" si="2"/>
        <v>174510</v>
      </c>
      <c r="J18" s="3"/>
      <c r="K18" s="6"/>
      <c r="L18" s="3"/>
    </row>
    <row r="19" spans="1:12" x14ac:dyDescent="0.25">
      <c r="A19" s="27" t="s">
        <v>73</v>
      </c>
      <c r="B19" s="28">
        <v>45884</v>
      </c>
      <c r="C19" s="27" t="s">
        <v>84</v>
      </c>
      <c r="D19" s="27" t="s">
        <v>85</v>
      </c>
      <c r="E19" s="29">
        <v>750</v>
      </c>
      <c r="F19" s="27" t="s">
        <v>54</v>
      </c>
      <c r="G19" s="29">
        <f t="shared" si="0"/>
        <v>75</v>
      </c>
      <c r="H19" s="29">
        <f t="shared" si="1"/>
        <v>675</v>
      </c>
      <c r="I19" s="30">
        <f t="shared" si="2"/>
        <v>186975</v>
      </c>
      <c r="J19" s="3"/>
      <c r="K19" s="6"/>
      <c r="L19" s="3"/>
    </row>
    <row r="20" spans="1:12" x14ac:dyDescent="0.25">
      <c r="A20" s="27" t="s">
        <v>73</v>
      </c>
      <c r="B20" s="28">
        <v>45887</v>
      </c>
      <c r="C20" s="27" t="s">
        <v>86</v>
      </c>
      <c r="D20" s="27" t="s">
        <v>87</v>
      </c>
      <c r="E20" s="29">
        <v>600</v>
      </c>
      <c r="F20" s="27" t="s">
        <v>54</v>
      </c>
      <c r="G20" s="29">
        <f t="shared" si="0"/>
        <v>60</v>
      </c>
      <c r="H20" s="29">
        <f t="shared" si="1"/>
        <v>540</v>
      </c>
      <c r="I20" s="30">
        <f t="shared" si="2"/>
        <v>149580</v>
      </c>
      <c r="J20" s="3"/>
      <c r="K20" s="6"/>
      <c r="L20" s="11"/>
    </row>
    <row r="21" spans="1:12" x14ac:dyDescent="0.25">
      <c r="A21" s="27" t="s">
        <v>73</v>
      </c>
      <c r="B21" s="28">
        <v>45890</v>
      </c>
      <c r="C21" s="27" t="s">
        <v>88</v>
      </c>
      <c r="D21" s="27" t="s">
        <v>89</v>
      </c>
      <c r="E21" s="29">
        <v>800</v>
      </c>
      <c r="F21" s="27" t="s">
        <v>54</v>
      </c>
      <c r="G21" s="29">
        <f t="shared" si="0"/>
        <v>80</v>
      </c>
      <c r="H21" s="29">
        <f t="shared" si="1"/>
        <v>720</v>
      </c>
      <c r="I21" s="30">
        <f t="shared" si="2"/>
        <v>199440</v>
      </c>
      <c r="J21" s="3"/>
      <c r="K21" s="6"/>
      <c r="L21" s="11"/>
    </row>
    <row r="22" spans="1:12" x14ac:dyDescent="0.25">
      <c r="A22" s="27" t="s">
        <v>73</v>
      </c>
      <c r="B22" s="28">
        <v>45893</v>
      </c>
      <c r="C22" s="27" t="s">
        <v>86</v>
      </c>
      <c r="D22" s="27" t="s">
        <v>90</v>
      </c>
      <c r="E22" s="29">
        <v>850</v>
      </c>
      <c r="F22" s="27" t="s">
        <v>54</v>
      </c>
      <c r="G22" s="29">
        <f t="shared" si="0"/>
        <v>85</v>
      </c>
      <c r="H22" s="29">
        <f t="shared" si="1"/>
        <v>765</v>
      </c>
      <c r="I22" s="30">
        <f t="shared" si="2"/>
        <v>211905</v>
      </c>
      <c r="J22" s="3"/>
      <c r="K22" s="6"/>
      <c r="L22" s="11"/>
    </row>
    <row r="23" spans="1:12" x14ac:dyDescent="0.25">
      <c r="A23" s="27" t="s">
        <v>73</v>
      </c>
      <c r="B23" s="28">
        <v>45896</v>
      </c>
      <c r="C23" s="27" t="s">
        <v>91</v>
      </c>
      <c r="D23" s="27" t="s">
        <v>92</v>
      </c>
      <c r="E23" s="29">
        <v>700</v>
      </c>
      <c r="F23" s="27" t="s">
        <v>54</v>
      </c>
      <c r="G23" s="29">
        <f t="shared" si="0"/>
        <v>70</v>
      </c>
      <c r="H23" s="29">
        <f t="shared" si="1"/>
        <v>630</v>
      </c>
      <c r="I23" s="30">
        <f t="shared" si="2"/>
        <v>174510</v>
      </c>
      <c r="J23" s="3"/>
      <c r="K23" s="6"/>
      <c r="L23" s="11"/>
    </row>
    <row r="24" spans="1:12" x14ac:dyDescent="0.25">
      <c r="A24" s="27" t="s">
        <v>93</v>
      </c>
      <c r="B24" s="28">
        <v>45901</v>
      </c>
      <c r="C24" s="27" t="s">
        <v>94</v>
      </c>
      <c r="D24" s="27" t="s">
        <v>95</v>
      </c>
      <c r="E24" s="29">
        <v>150</v>
      </c>
      <c r="F24" s="27" t="s">
        <v>54</v>
      </c>
      <c r="G24" s="29">
        <f t="shared" si="0"/>
        <v>15</v>
      </c>
      <c r="H24" s="29">
        <f t="shared" si="1"/>
        <v>135</v>
      </c>
      <c r="I24" s="30">
        <f t="shared" si="2"/>
        <v>37395</v>
      </c>
      <c r="J24" s="3"/>
      <c r="K24" s="6"/>
      <c r="L24" s="11"/>
    </row>
    <row r="25" spans="1:12" x14ac:dyDescent="0.25">
      <c r="A25" s="27" t="s">
        <v>93</v>
      </c>
      <c r="B25" s="28">
        <v>45902</v>
      </c>
      <c r="C25" s="27" t="s">
        <v>96</v>
      </c>
      <c r="D25" s="27" t="s">
        <v>97</v>
      </c>
      <c r="E25" s="29">
        <v>500</v>
      </c>
      <c r="F25" s="27" t="s">
        <v>54</v>
      </c>
      <c r="G25" s="29">
        <f t="shared" si="0"/>
        <v>50</v>
      </c>
      <c r="H25" s="29">
        <f t="shared" si="1"/>
        <v>450</v>
      </c>
      <c r="I25" s="30">
        <f t="shared" si="2"/>
        <v>124650</v>
      </c>
      <c r="J25" s="3"/>
      <c r="K25" s="6"/>
      <c r="L25" s="11"/>
    </row>
    <row r="26" spans="1:12" x14ac:dyDescent="0.25">
      <c r="A26" s="27" t="s">
        <v>93</v>
      </c>
      <c r="B26" s="28">
        <v>45905</v>
      </c>
      <c r="C26" s="27" t="s">
        <v>98</v>
      </c>
      <c r="D26" s="27" t="s">
        <v>99</v>
      </c>
      <c r="E26" s="29">
        <v>1200</v>
      </c>
      <c r="F26" s="27" t="s">
        <v>54</v>
      </c>
      <c r="G26" s="29">
        <f t="shared" si="0"/>
        <v>120</v>
      </c>
      <c r="H26" s="29">
        <f t="shared" si="1"/>
        <v>1080</v>
      </c>
      <c r="I26" s="30">
        <f t="shared" si="2"/>
        <v>299160</v>
      </c>
      <c r="J26" s="3"/>
      <c r="K26" s="6"/>
      <c r="L26" s="3"/>
    </row>
    <row r="27" spans="1:12" x14ac:dyDescent="0.25">
      <c r="A27" s="27" t="s">
        <v>93</v>
      </c>
      <c r="B27" s="28">
        <v>45908</v>
      </c>
      <c r="C27" s="27" t="s">
        <v>100</v>
      </c>
      <c r="D27" s="27" t="s">
        <v>101</v>
      </c>
      <c r="E27" s="29">
        <v>650</v>
      </c>
      <c r="F27" s="27" t="s">
        <v>54</v>
      </c>
      <c r="G27" s="29">
        <f t="shared" si="0"/>
        <v>65</v>
      </c>
      <c r="H27" s="29">
        <f t="shared" si="1"/>
        <v>585</v>
      </c>
      <c r="I27" s="30">
        <f t="shared" si="2"/>
        <v>162045</v>
      </c>
      <c r="J27" s="3"/>
      <c r="K27" s="6"/>
      <c r="L27" s="3"/>
    </row>
    <row r="28" spans="1:12" x14ac:dyDescent="0.25">
      <c r="A28" s="27" t="s">
        <v>93</v>
      </c>
      <c r="B28" s="28">
        <v>45911</v>
      </c>
      <c r="C28" s="27" t="s">
        <v>102</v>
      </c>
      <c r="D28" s="27" t="s">
        <v>103</v>
      </c>
      <c r="E28" s="29">
        <v>400</v>
      </c>
      <c r="F28" s="27" t="s">
        <v>54</v>
      </c>
      <c r="G28" s="29">
        <f t="shared" si="0"/>
        <v>40</v>
      </c>
      <c r="H28" s="29">
        <f t="shared" si="1"/>
        <v>360</v>
      </c>
      <c r="I28" s="30">
        <f t="shared" si="2"/>
        <v>99720</v>
      </c>
      <c r="J28" s="3"/>
      <c r="K28" s="6"/>
      <c r="L28" s="3"/>
    </row>
    <row r="29" spans="1:12" x14ac:dyDescent="0.25">
      <c r="A29" s="27" t="s">
        <v>93</v>
      </c>
      <c r="B29" s="28">
        <v>45914</v>
      </c>
      <c r="C29" s="27" t="s">
        <v>104</v>
      </c>
      <c r="D29" s="27" t="s">
        <v>105</v>
      </c>
      <c r="E29" s="29">
        <v>200</v>
      </c>
      <c r="F29" s="27" t="s">
        <v>54</v>
      </c>
      <c r="G29" s="29">
        <f t="shared" si="0"/>
        <v>20</v>
      </c>
      <c r="H29" s="29">
        <f t="shared" si="1"/>
        <v>180</v>
      </c>
      <c r="I29" s="30">
        <f t="shared" si="2"/>
        <v>49860</v>
      </c>
      <c r="J29" s="3"/>
      <c r="K29" s="6"/>
      <c r="L29" s="3"/>
    </row>
    <row r="30" spans="1:12" x14ac:dyDescent="0.25">
      <c r="A30" s="27" t="s">
        <v>93</v>
      </c>
      <c r="B30" s="28">
        <v>45917</v>
      </c>
      <c r="C30" s="27" t="s">
        <v>106</v>
      </c>
      <c r="D30" s="27" t="s">
        <v>107</v>
      </c>
      <c r="E30" s="29">
        <v>100</v>
      </c>
      <c r="F30" s="27" t="s">
        <v>54</v>
      </c>
      <c r="G30" s="29">
        <f t="shared" si="0"/>
        <v>10</v>
      </c>
      <c r="H30" s="29">
        <f t="shared" si="1"/>
        <v>90</v>
      </c>
      <c r="I30" s="30">
        <f t="shared" si="2"/>
        <v>24930</v>
      </c>
      <c r="J30" s="3"/>
      <c r="K30" s="6"/>
      <c r="L30" s="3"/>
    </row>
    <row r="31" spans="1:12" x14ac:dyDescent="0.25">
      <c r="A31" s="27" t="s">
        <v>93</v>
      </c>
      <c r="B31" s="28">
        <v>45920</v>
      </c>
      <c r="C31" s="27" t="s">
        <v>67</v>
      </c>
      <c r="D31" s="27" t="s">
        <v>108</v>
      </c>
      <c r="E31" s="29">
        <v>500</v>
      </c>
      <c r="F31" s="27" t="s">
        <v>54</v>
      </c>
      <c r="G31" s="29">
        <f t="shared" si="0"/>
        <v>50</v>
      </c>
      <c r="H31" s="29">
        <f t="shared" si="1"/>
        <v>450</v>
      </c>
      <c r="I31" s="30">
        <f t="shared" si="2"/>
        <v>124650</v>
      </c>
      <c r="J31" s="3"/>
      <c r="K31" s="6"/>
      <c r="L31" s="3"/>
    </row>
    <row r="32" spans="1:12" x14ac:dyDescent="0.25">
      <c r="A32" s="27" t="s">
        <v>93</v>
      </c>
      <c r="B32" s="28">
        <v>45923</v>
      </c>
      <c r="C32" s="27" t="s">
        <v>109</v>
      </c>
      <c r="D32" s="27" t="s">
        <v>110</v>
      </c>
      <c r="E32" s="29">
        <v>1200</v>
      </c>
      <c r="F32" s="27" t="s">
        <v>54</v>
      </c>
      <c r="G32" s="29">
        <f t="shared" si="0"/>
        <v>120</v>
      </c>
      <c r="H32" s="29">
        <f t="shared" si="1"/>
        <v>1080</v>
      </c>
      <c r="I32" s="30">
        <f t="shared" si="2"/>
        <v>299160</v>
      </c>
      <c r="J32" s="3"/>
      <c r="K32" s="6"/>
      <c r="L32" s="3"/>
    </row>
    <row r="33" spans="1:12" x14ac:dyDescent="0.25">
      <c r="A33" s="27" t="s">
        <v>93</v>
      </c>
      <c r="B33" s="28">
        <v>45926</v>
      </c>
      <c r="C33" s="27" t="s">
        <v>98</v>
      </c>
      <c r="D33" s="27" t="s">
        <v>111</v>
      </c>
      <c r="E33" s="29">
        <v>650</v>
      </c>
      <c r="F33" s="27" t="s">
        <v>54</v>
      </c>
      <c r="G33" s="29">
        <f t="shared" si="0"/>
        <v>65</v>
      </c>
      <c r="H33" s="29">
        <f t="shared" si="1"/>
        <v>585</v>
      </c>
      <c r="I33" s="30">
        <f t="shared" si="2"/>
        <v>162045</v>
      </c>
      <c r="J33" s="3"/>
      <c r="K33" s="6"/>
      <c r="L33" s="3"/>
    </row>
    <row r="34" spans="1:12" x14ac:dyDescent="0.25">
      <c r="A34" s="27" t="s">
        <v>124</v>
      </c>
      <c r="B34" s="28">
        <v>45931</v>
      </c>
      <c r="C34" s="27" t="s">
        <v>52</v>
      </c>
      <c r="D34" s="27" t="s">
        <v>53</v>
      </c>
      <c r="E34" s="29">
        <v>400</v>
      </c>
      <c r="F34" s="27" t="s">
        <v>54</v>
      </c>
      <c r="G34" s="29">
        <f t="shared" si="0"/>
        <v>40</v>
      </c>
      <c r="H34" s="29">
        <f t="shared" si="1"/>
        <v>360</v>
      </c>
      <c r="I34" s="30">
        <f t="shared" si="2"/>
        <v>99720</v>
      </c>
      <c r="J34" s="3"/>
      <c r="K34" s="6"/>
      <c r="L34" s="11"/>
    </row>
    <row r="35" spans="1:12" x14ac:dyDescent="0.25">
      <c r="A35" s="27" t="s">
        <v>124</v>
      </c>
      <c r="B35" s="28">
        <v>45932</v>
      </c>
      <c r="C35" s="27" t="s">
        <v>55</v>
      </c>
      <c r="D35" s="27" t="s">
        <v>56</v>
      </c>
      <c r="E35" s="29">
        <v>200</v>
      </c>
      <c r="F35" s="27" t="s">
        <v>54</v>
      </c>
      <c r="G35" s="29">
        <f t="shared" si="0"/>
        <v>20</v>
      </c>
      <c r="H35" s="29">
        <f t="shared" si="1"/>
        <v>180</v>
      </c>
      <c r="I35" s="30">
        <f t="shared" si="2"/>
        <v>49860</v>
      </c>
      <c r="J35" s="3"/>
      <c r="K35" s="6"/>
      <c r="L35" s="3"/>
    </row>
    <row r="36" spans="1:12" x14ac:dyDescent="0.25">
      <c r="A36" s="27" t="s">
        <v>124</v>
      </c>
      <c r="B36" s="28">
        <v>45935</v>
      </c>
      <c r="C36" s="27" t="s">
        <v>57</v>
      </c>
      <c r="D36" s="27" t="s">
        <v>58</v>
      </c>
      <c r="E36" s="29">
        <v>100</v>
      </c>
      <c r="F36" s="27" t="s">
        <v>54</v>
      </c>
      <c r="G36" s="29">
        <f t="shared" si="0"/>
        <v>10</v>
      </c>
      <c r="H36" s="29">
        <f t="shared" si="1"/>
        <v>90</v>
      </c>
      <c r="I36" s="30">
        <f t="shared" si="2"/>
        <v>24930</v>
      </c>
      <c r="J36" s="3"/>
      <c r="K36" s="6"/>
      <c r="L36" s="3"/>
    </row>
    <row r="37" spans="1:12" x14ac:dyDescent="0.25">
      <c r="A37" s="27" t="s">
        <v>124</v>
      </c>
      <c r="B37" s="28">
        <v>45938</v>
      </c>
      <c r="C37" s="27" t="s">
        <v>59</v>
      </c>
      <c r="D37" s="27" t="s">
        <v>60</v>
      </c>
      <c r="E37" s="29">
        <v>135</v>
      </c>
      <c r="F37" s="27" t="s">
        <v>54</v>
      </c>
      <c r="G37" s="29">
        <f t="shared" si="0"/>
        <v>13.5</v>
      </c>
      <c r="H37" s="29">
        <f t="shared" si="1"/>
        <v>121.5</v>
      </c>
      <c r="I37" s="30">
        <f t="shared" si="2"/>
        <v>33655.5</v>
      </c>
      <c r="J37" s="3"/>
      <c r="K37" s="6"/>
      <c r="L37" s="3"/>
    </row>
    <row r="38" spans="1:12" x14ac:dyDescent="0.25">
      <c r="A38" s="27" t="s">
        <v>124</v>
      </c>
      <c r="B38" s="28">
        <v>45941</v>
      </c>
      <c r="C38" s="27" t="s">
        <v>61</v>
      </c>
      <c r="D38" s="27" t="s">
        <v>62</v>
      </c>
      <c r="E38" s="29">
        <v>700</v>
      </c>
      <c r="F38" s="27" t="s">
        <v>54</v>
      </c>
      <c r="G38" s="29">
        <f t="shared" si="0"/>
        <v>70</v>
      </c>
      <c r="H38" s="29">
        <f t="shared" si="1"/>
        <v>630</v>
      </c>
      <c r="I38" s="30">
        <f t="shared" si="2"/>
        <v>174510</v>
      </c>
      <c r="J38" s="3"/>
      <c r="K38" s="6"/>
      <c r="L38" s="3"/>
    </row>
    <row r="39" spans="1:12" x14ac:dyDescent="0.25">
      <c r="A39" s="27" t="s">
        <v>124</v>
      </c>
      <c r="B39" s="28">
        <v>45944</v>
      </c>
      <c r="C39" s="27" t="s">
        <v>63</v>
      </c>
      <c r="D39" s="27" t="s">
        <v>64</v>
      </c>
      <c r="E39" s="29">
        <v>750</v>
      </c>
      <c r="F39" s="27" t="s">
        <v>54</v>
      </c>
      <c r="G39" s="29">
        <f t="shared" si="0"/>
        <v>75</v>
      </c>
      <c r="H39" s="29">
        <f t="shared" si="1"/>
        <v>675</v>
      </c>
      <c r="I39" s="30">
        <f t="shared" si="2"/>
        <v>186975</v>
      </c>
      <c r="J39" s="3"/>
      <c r="K39" s="6"/>
      <c r="L39" s="3"/>
    </row>
    <row r="40" spans="1:12" x14ac:dyDescent="0.25">
      <c r="A40" s="27" t="s">
        <v>124</v>
      </c>
      <c r="B40" s="28">
        <v>45947</v>
      </c>
      <c r="C40" s="27" t="s">
        <v>65</v>
      </c>
      <c r="D40" s="27" t="s">
        <v>66</v>
      </c>
      <c r="E40" s="29">
        <v>600</v>
      </c>
      <c r="F40" s="27" t="s">
        <v>54</v>
      </c>
      <c r="G40" s="29">
        <f t="shared" si="0"/>
        <v>60</v>
      </c>
      <c r="H40" s="29">
        <f t="shared" si="1"/>
        <v>540</v>
      </c>
      <c r="I40" s="30">
        <f t="shared" si="2"/>
        <v>149580</v>
      </c>
      <c r="J40" s="3"/>
      <c r="K40" s="6"/>
      <c r="L40" s="3"/>
    </row>
    <row r="41" spans="1:12" x14ac:dyDescent="0.25">
      <c r="A41" s="27" t="s">
        <v>124</v>
      </c>
      <c r="B41" s="28">
        <v>45950</v>
      </c>
      <c r="C41" s="27" t="s">
        <v>67</v>
      </c>
      <c r="D41" s="27" t="s">
        <v>68</v>
      </c>
      <c r="E41" s="29">
        <v>800</v>
      </c>
      <c r="F41" s="27" t="s">
        <v>54</v>
      </c>
      <c r="G41" s="29">
        <f t="shared" si="0"/>
        <v>80</v>
      </c>
      <c r="H41" s="29">
        <f t="shared" si="1"/>
        <v>720</v>
      </c>
      <c r="I41" s="30">
        <f t="shared" si="2"/>
        <v>199440</v>
      </c>
      <c r="J41" s="3"/>
      <c r="K41" s="6"/>
      <c r="L41" s="3"/>
    </row>
    <row r="42" spans="1:12" x14ac:dyDescent="0.25">
      <c r="A42" s="27" t="s">
        <v>124</v>
      </c>
      <c r="B42" s="28">
        <v>45953</v>
      </c>
      <c r="C42" s="27" t="s">
        <v>69</v>
      </c>
      <c r="D42" s="27" t="s">
        <v>70</v>
      </c>
      <c r="E42" s="29">
        <v>850</v>
      </c>
      <c r="F42" s="27" t="s">
        <v>54</v>
      </c>
      <c r="G42" s="29">
        <f t="shared" si="0"/>
        <v>85</v>
      </c>
      <c r="H42" s="29">
        <f t="shared" si="1"/>
        <v>765</v>
      </c>
      <c r="I42" s="30">
        <f t="shared" si="2"/>
        <v>211905</v>
      </c>
      <c r="J42" s="3"/>
      <c r="K42" s="6"/>
      <c r="L42" s="3"/>
    </row>
    <row r="43" spans="1:12" x14ac:dyDescent="0.25">
      <c r="A43" s="27" t="s">
        <v>114</v>
      </c>
      <c r="B43" s="28">
        <v>45962</v>
      </c>
      <c r="C43" s="27" t="s">
        <v>71</v>
      </c>
      <c r="D43" s="27" t="s">
        <v>72</v>
      </c>
      <c r="E43" s="29">
        <v>1350</v>
      </c>
      <c r="F43" s="27" t="s">
        <v>54</v>
      </c>
      <c r="G43" s="29">
        <f t="shared" si="0"/>
        <v>135</v>
      </c>
      <c r="H43" s="29">
        <f t="shared" si="1"/>
        <v>1215</v>
      </c>
      <c r="I43" s="30">
        <f t="shared" si="2"/>
        <v>336555</v>
      </c>
      <c r="J43" s="3"/>
      <c r="K43" s="6"/>
      <c r="L43" s="11"/>
    </row>
    <row r="44" spans="1:12" x14ac:dyDescent="0.25">
      <c r="A44" s="27" t="s">
        <v>114</v>
      </c>
      <c r="B44" s="28">
        <v>45963</v>
      </c>
      <c r="C44" s="27" t="s">
        <v>74</v>
      </c>
      <c r="D44" s="27" t="s">
        <v>75</v>
      </c>
      <c r="E44" s="29">
        <v>700</v>
      </c>
      <c r="F44" s="27" t="s">
        <v>54</v>
      </c>
      <c r="G44" s="29">
        <f t="shared" si="0"/>
        <v>70</v>
      </c>
      <c r="H44" s="29">
        <f t="shared" si="1"/>
        <v>630</v>
      </c>
      <c r="I44" s="30">
        <f t="shared" si="2"/>
        <v>174510</v>
      </c>
      <c r="J44" s="3"/>
      <c r="K44" s="6"/>
      <c r="L44" s="3"/>
    </row>
    <row r="45" spans="1:12" x14ac:dyDescent="0.25">
      <c r="A45" s="27" t="s">
        <v>114</v>
      </c>
      <c r="B45" s="28">
        <v>45963</v>
      </c>
      <c r="C45" s="27" t="s">
        <v>76</v>
      </c>
      <c r="D45" s="27" t="s">
        <v>77</v>
      </c>
      <c r="E45" s="29">
        <v>750</v>
      </c>
      <c r="F45" s="27" t="s">
        <v>54</v>
      </c>
      <c r="G45" s="29">
        <f t="shared" si="0"/>
        <v>75</v>
      </c>
      <c r="H45" s="29">
        <f t="shared" si="1"/>
        <v>675</v>
      </c>
      <c r="I45" s="30">
        <f t="shared" si="2"/>
        <v>186975</v>
      </c>
      <c r="J45" s="3"/>
      <c r="K45" s="6"/>
      <c r="L45" s="3"/>
    </row>
    <row r="46" spans="1:12" x14ac:dyDescent="0.25">
      <c r="A46" s="27" t="s">
        <v>114</v>
      </c>
      <c r="B46" s="28">
        <v>45965</v>
      </c>
      <c r="C46" s="27" t="s">
        <v>78</v>
      </c>
      <c r="D46" s="27" t="s">
        <v>79</v>
      </c>
      <c r="E46" s="29">
        <v>600</v>
      </c>
      <c r="F46" s="27" t="s">
        <v>54</v>
      </c>
      <c r="G46" s="29">
        <f t="shared" si="0"/>
        <v>60</v>
      </c>
      <c r="H46" s="29">
        <f t="shared" si="1"/>
        <v>540</v>
      </c>
      <c r="I46" s="30">
        <f t="shared" si="2"/>
        <v>149580</v>
      </c>
      <c r="J46" s="3"/>
      <c r="K46" s="6"/>
      <c r="L46" s="3"/>
    </row>
    <row r="47" spans="1:12" x14ac:dyDescent="0.25">
      <c r="A47" s="27" t="s">
        <v>114</v>
      </c>
      <c r="B47" s="28">
        <v>45968</v>
      </c>
      <c r="C47" s="27" t="s">
        <v>80</v>
      </c>
      <c r="D47" s="27" t="s">
        <v>81</v>
      </c>
      <c r="E47" s="29">
        <v>800</v>
      </c>
      <c r="F47" s="27" t="s">
        <v>54</v>
      </c>
      <c r="G47" s="29">
        <f t="shared" si="0"/>
        <v>80</v>
      </c>
      <c r="H47" s="29">
        <f t="shared" si="1"/>
        <v>720</v>
      </c>
      <c r="I47" s="30">
        <f t="shared" si="2"/>
        <v>199440</v>
      </c>
      <c r="J47" s="3"/>
      <c r="K47" s="6"/>
      <c r="L47" s="3"/>
    </row>
    <row r="48" spans="1:12" x14ac:dyDescent="0.25">
      <c r="A48" s="27" t="s">
        <v>114</v>
      </c>
      <c r="B48" s="28">
        <v>45971</v>
      </c>
      <c r="C48" s="27" t="s">
        <v>82</v>
      </c>
      <c r="D48" s="27" t="s">
        <v>83</v>
      </c>
      <c r="E48" s="29">
        <v>850</v>
      </c>
      <c r="F48" s="27" t="s">
        <v>54</v>
      </c>
      <c r="G48" s="29">
        <f t="shared" si="0"/>
        <v>85</v>
      </c>
      <c r="H48" s="29">
        <f t="shared" si="1"/>
        <v>765</v>
      </c>
      <c r="I48" s="30">
        <f t="shared" si="2"/>
        <v>211905</v>
      </c>
      <c r="J48" s="3"/>
      <c r="K48" s="6"/>
      <c r="L48" s="3"/>
    </row>
    <row r="49" spans="1:12" x14ac:dyDescent="0.25">
      <c r="A49" s="27" t="s">
        <v>114</v>
      </c>
      <c r="B49" s="28">
        <v>45974</v>
      </c>
      <c r="C49" s="27" t="s">
        <v>84</v>
      </c>
      <c r="D49" s="27" t="s">
        <v>85</v>
      </c>
      <c r="E49" s="29">
        <v>700</v>
      </c>
      <c r="F49" s="27" t="s">
        <v>54</v>
      </c>
      <c r="G49" s="29">
        <f t="shared" si="0"/>
        <v>70</v>
      </c>
      <c r="H49" s="29">
        <f t="shared" si="1"/>
        <v>630</v>
      </c>
      <c r="I49" s="30">
        <f t="shared" si="2"/>
        <v>174510</v>
      </c>
      <c r="J49" s="3"/>
      <c r="K49" s="6"/>
      <c r="L49" s="3"/>
    </row>
    <row r="50" spans="1:12" x14ac:dyDescent="0.25">
      <c r="A50" s="27" t="s">
        <v>114</v>
      </c>
      <c r="B50" s="28">
        <v>45977</v>
      </c>
      <c r="C50" s="27" t="s">
        <v>86</v>
      </c>
      <c r="D50" s="27" t="s">
        <v>87</v>
      </c>
      <c r="E50" s="29">
        <v>150</v>
      </c>
      <c r="F50" s="27" t="s">
        <v>54</v>
      </c>
      <c r="G50" s="29">
        <f t="shared" si="0"/>
        <v>15</v>
      </c>
      <c r="H50" s="29">
        <f t="shared" si="1"/>
        <v>135</v>
      </c>
      <c r="I50" s="30">
        <f t="shared" si="2"/>
        <v>37395</v>
      </c>
      <c r="J50" s="3"/>
      <c r="K50" s="6"/>
      <c r="L50" s="3"/>
    </row>
    <row r="51" spans="1:12" x14ac:dyDescent="0.25">
      <c r="A51" s="27" t="s">
        <v>114</v>
      </c>
      <c r="B51" s="28">
        <v>45980</v>
      </c>
      <c r="C51" s="27" t="s">
        <v>88</v>
      </c>
      <c r="D51" s="27" t="s">
        <v>89</v>
      </c>
      <c r="E51" s="29">
        <v>500</v>
      </c>
      <c r="F51" s="27" t="s">
        <v>54</v>
      </c>
      <c r="G51" s="29">
        <f t="shared" si="0"/>
        <v>50</v>
      </c>
      <c r="H51" s="29">
        <f t="shared" si="1"/>
        <v>450</v>
      </c>
      <c r="I51" s="30">
        <f t="shared" si="2"/>
        <v>124650</v>
      </c>
      <c r="J51" s="3"/>
      <c r="K51" s="6"/>
      <c r="L51" s="3"/>
    </row>
    <row r="52" spans="1:12" x14ac:dyDescent="0.25">
      <c r="A52" s="27" t="s">
        <v>115</v>
      </c>
      <c r="B52" s="28">
        <v>45993</v>
      </c>
      <c r="C52" s="27" t="s">
        <v>86</v>
      </c>
      <c r="D52" s="27" t="s">
        <v>90</v>
      </c>
      <c r="E52" s="29">
        <v>120</v>
      </c>
      <c r="F52" s="27" t="s">
        <v>54</v>
      </c>
      <c r="G52" s="29">
        <f t="shared" si="0"/>
        <v>12</v>
      </c>
      <c r="H52" s="29">
        <f t="shared" si="1"/>
        <v>108</v>
      </c>
      <c r="I52" s="30">
        <f t="shared" si="2"/>
        <v>29916</v>
      </c>
      <c r="J52" s="3"/>
      <c r="K52" s="6"/>
      <c r="L52" s="11"/>
    </row>
    <row r="53" spans="1:12" x14ac:dyDescent="0.25">
      <c r="A53" s="27" t="s">
        <v>115</v>
      </c>
      <c r="B53" s="28">
        <v>45996</v>
      </c>
      <c r="C53" s="27" t="s">
        <v>91</v>
      </c>
      <c r="D53" s="27" t="s">
        <v>92</v>
      </c>
      <c r="E53" s="29">
        <v>650</v>
      </c>
      <c r="F53" s="27" t="s">
        <v>54</v>
      </c>
      <c r="G53" s="29">
        <f t="shared" si="0"/>
        <v>65</v>
      </c>
      <c r="H53" s="29">
        <f t="shared" si="1"/>
        <v>585</v>
      </c>
      <c r="I53" s="30">
        <f t="shared" si="2"/>
        <v>162045</v>
      </c>
      <c r="J53" s="3"/>
      <c r="K53" s="6"/>
      <c r="L53" s="3"/>
    </row>
    <row r="54" spans="1:12" x14ac:dyDescent="0.25">
      <c r="A54" s="27" t="s">
        <v>115</v>
      </c>
      <c r="B54" s="28">
        <v>45999</v>
      </c>
      <c r="C54" s="27" t="s">
        <v>94</v>
      </c>
      <c r="D54" s="27" t="s">
        <v>95</v>
      </c>
      <c r="E54" s="29">
        <v>400</v>
      </c>
      <c r="F54" s="27" t="s">
        <v>54</v>
      </c>
      <c r="G54" s="29">
        <f t="shared" si="0"/>
        <v>40</v>
      </c>
      <c r="H54" s="29">
        <f t="shared" si="1"/>
        <v>360</v>
      </c>
      <c r="I54" s="30">
        <f t="shared" si="2"/>
        <v>99720</v>
      </c>
      <c r="J54" s="3"/>
      <c r="K54" s="6"/>
      <c r="L54" s="3"/>
    </row>
    <row r="55" spans="1:12" x14ac:dyDescent="0.25">
      <c r="A55" s="27" t="s">
        <v>115</v>
      </c>
      <c r="B55" s="28">
        <v>46002</v>
      </c>
      <c r="C55" s="27" t="s">
        <v>96</v>
      </c>
      <c r="D55" s="27" t="s">
        <v>97</v>
      </c>
      <c r="E55" s="29">
        <v>200</v>
      </c>
      <c r="F55" s="27" t="s">
        <v>54</v>
      </c>
      <c r="G55" s="29">
        <f t="shared" si="0"/>
        <v>20</v>
      </c>
      <c r="H55" s="29">
        <f t="shared" si="1"/>
        <v>180</v>
      </c>
      <c r="I55" s="30">
        <f t="shared" si="2"/>
        <v>49860</v>
      </c>
      <c r="J55" s="3"/>
      <c r="K55" s="6"/>
      <c r="L55" s="3"/>
    </row>
    <row r="56" spans="1:12" x14ac:dyDescent="0.25">
      <c r="A56" s="27" t="s">
        <v>115</v>
      </c>
      <c r="B56" s="28">
        <v>46005</v>
      </c>
      <c r="C56" s="27" t="s">
        <v>98</v>
      </c>
      <c r="D56" s="27" t="s">
        <v>99</v>
      </c>
      <c r="E56" s="29">
        <v>100</v>
      </c>
      <c r="F56" s="27" t="s">
        <v>54</v>
      </c>
      <c r="G56" s="29">
        <f t="shared" si="0"/>
        <v>10</v>
      </c>
      <c r="H56" s="29">
        <f t="shared" si="1"/>
        <v>90</v>
      </c>
      <c r="I56" s="30">
        <f t="shared" si="2"/>
        <v>24930</v>
      </c>
      <c r="J56" s="3"/>
      <c r="K56" s="6"/>
      <c r="L56" s="3"/>
    </row>
    <row r="57" spans="1:12" x14ac:dyDescent="0.25">
      <c r="A57" s="27" t="s">
        <v>115</v>
      </c>
      <c r="B57" s="28">
        <v>46008</v>
      </c>
      <c r="C57" s="27" t="s">
        <v>100</v>
      </c>
      <c r="D57" s="27" t="s">
        <v>101</v>
      </c>
      <c r="E57" s="29">
        <v>500</v>
      </c>
      <c r="F57" s="27" t="s">
        <v>54</v>
      </c>
      <c r="G57" s="29">
        <f t="shared" si="0"/>
        <v>50</v>
      </c>
      <c r="H57" s="29">
        <f t="shared" si="1"/>
        <v>450</v>
      </c>
      <c r="I57" s="30">
        <f t="shared" si="2"/>
        <v>124650</v>
      </c>
      <c r="J57" s="3"/>
      <c r="K57" s="6"/>
      <c r="L57" s="3"/>
    </row>
    <row r="58" spans="1:12" x14ac:dyDescent="0.25">
      <c r="A58" s="27" t="s">
        <v>115</v>
      </c>
      <c r="B58" s="28">
        <v>46011</v>
      </c>
      <c r="C58" s="27" t="s">
        <v>102</v>
      </c>
      <c r="D58" s="27" t="s">
        <v>103</v>
      </c>
      <c r="E58" s="29">
        <v>120</v>
      </c>
      <c r="F58" s="27" t="s">
        <v>54</v>
      </c>
      <c r="G58" s="29">
        <f t="shared" si="0"/>
        <v>12</v>
      </c>
      <c r="H58" s="29">
        <f t="shared" si="1"/>
        <v>108</v>
      </c>
      <c r="I58" s="30">
        <f t="shared" si="2"/>
        <v>29916</v>
      </c>
      <c r="J58" s="3"/>
      <c r="K58" s="6"/>
      <c r="L58" s="3"/>
    </row>
    <row r="59" spans="1:12" x14ac:dyDescent="0.25">
      <c r="A59" s="27" t="s">
        <v>115</v>
      </c>
      <c r="B59" s="28">
        <v>46014</v>
      </c>
      <c r="C59" s="27" t="s">
        <v>104</v>
      </c>
      <c r="D59" s="27" t="s">
        <v>105</v>
      </c>
      <c r="E59" s="29">
        <v>650</v>
      </c>
      <c r="F59" s="27" t="s">
        <v>54</v>
      </c>
      <c r="G59" s="29">
        <f t="shared" si="0"/>
        <v>65</v>
      </c>
      <c r="H59" s="29">
        <f t="shared" si="1"/>
        <v>585</v>
      </c>
      <c r="I59" s="30">
        <f t="shared" si="2"/>
        <v>162045</v>
      </c>
      <c r="J59" s="3"/>
      <c r="K59" s="6"/>
      <c r="L59" s="3"/>
    </row>
    <row r="60" spans="1:12" x14ac:dyDescent="0.25">
      <c r="A60" s="27" t="s">
        <v>115</v>
      </c>
      <c r="B60" s="28">
        <v>46017</v>
      </c>
      <c r="C60" s="27" t="s">
        <v>106</v>
      </c>
      <c r="D60" s="27" t="s">
        <v>107</v>
      </c>
      <c r="E60" s="29">
        <v>1400</v>
      </c>
      <c r="F60" s="27" t="s">
        <v>54</v>
      </c>
      <c r="G60" s="29">
        <f t="shared" si="0"/>
        <v>140</v>
      </c>
      <c r="H60" s="29">
        <f t="shared" si="1"/>
        <v>1260</v>
      </c>
      <c r="I60" s="30">
        <f t="shared" si="2"/>
        <v>349020</v>
      </c>
      <c r="J60" s="3"/>
      <c r="K60" s="6"/>
      <c r="L60" s="3"/>
    </row>
    <row r="61" spans="1:12" x14ac:dyDescent="0.25">
      <c r="A61" s="10"/>
      <c r="B61"/>
      <c r="C61" s="10"/>
    </row>
  </sheetData>
  <mergeCells count="1">
    <mergeCell ref="A1:I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selection activeCell="D26" sqref="D26"/>
    </sheetView>
  </sheetViews>
  <sheetFormatPr defaultRowHeight="15" x14ac:dyDescent="0.25"/>
  <cols>
    <col min="1" max="1" width="12.5703125" customWidth="1"/>
    <col min="2" max="2" width="26" customWidth="1"/>
    <col min="3" max="3" width="34" customWidth="1"/>
    <col min="4" max="4" width="18.85546875" customWidth="1"/>
    <col min="5" max="5" width="19.7109375" customWidth="1"/>
    <col min="6" max="6" width="18.5703125" customWidth="1"/>
  </cols>
  <sheetData>
    <row r="1" spans="1:6" ht="31.5" customHeight="1" x14ac:dyDescent="0.25">
      <c r="A1" s="34" t="s">
        <v>47</v>
      </c>
      <c r="B1" s="34" t="s">
        <v>127</v>
      </c>
      <c r="C1" s="34" t="s">
        <v>112</v>
      </c>
      <c r="D1" s="34" t="s">
        <v>116</v>
      </c>
      <c r="E1" s="34" t="s">
        <v>128</v>
      </c>
      <c r="F1" s="34" t="s">
        <v>117</v>
      </c>
    </row>
    <row r="2" spans="1:6" x14ac:dyDescent="0.25">
      <c r="A2" s="31" t="s">
        <v>51</v>
      </c>
      <c r="B2" s="14">
        <v>1720170</v>
      </c>
      <c r="C2" s="32">
        <v>645000</v>
      </c>
      <c r="D2" s="32">
        <f>Table7[[#This Row],[ Revenue ]]-Table7[[#This Row],[Total Expenses]]</f>
        <v>1075170</v>
      </c>
      <c r="E2" s="32">
        <f>C2*20%</f>
        <v>129000</v>
      </c>
      <c r="F2" s="32">
        <f t="shared" ref="F2:F7" si="0">D2-E2</f>
        <v>946170</v>
      </c>
    </row>
    <row r="3" spans="1:6" x14ac:dyDescent="0.25">
      <c r="A3" s="31" t="s">
        <v>73</v>
      </c>
      <c r="B3" s="14">
        <v>1607985</v>
      </c>
      <c r="C3" s="32">
        <v>580000</v>
      </c>
      <c r="D3" s="32">
        <f>Table7[[#This Row],[ Revenue ]]-Table7[[#This Row],[Total Expenses]]</f>
        <v>1027985</v>
      </c>
      <c r="E3" s="32">
        <f>C3*20%</f>
        <v>116000</v>
      </c>
      <c r="F3" s="32">
        <f t="shared" si="0"/>
        <v>911985</v>
      </c>
    </row>
    <row r="4" spans="1:6" x14ac:dyDescent="0.25">
      <c r="A4" s="31" t="s">
        <v>93</v>
      </c>
      <c r="B4" s="14">
        <v>1383615</v>
      </c>
      <c r="C4" s="32">
        <v>619999</v>
      </c>
      <c r="D4" s="32">
        <f>Table7[[#This Row],[ Revenue ]]-Table7[[#This Row],[Total Expenses]]</f>
        <v>763616</v>
      </c>
      <c r="E4" s="32">
        <f>C4*20%</f>
        <v>123999.8</v>
      </c>
      <c r="F4" s="32">
        <f t="shared" si="0"/>
        <v>639616.19999999995</v>
      </c>
    </row>
    <row r="5" spans="1:6" x14ac:dyDescent="0.25">
      <c r="A5" s="31" t="s">
        <v>113</v>
      </c>
      <c r="B5" s="14">
        <v>1467130</v>
      </c>
      <c r="C5" s="32">
        <v>650000</v>
      </c>
      <c r="D5" s="32">
        <f>Table7[[#This Row],[ Revenue ]]-Table7[[#This Row],[Total Expenses]]</f>
        <v>817130</v>
      </c>
      <c r="E5" s="32">
        <f t="shared" ref="E5:E8" si="1">C5*20%</f>
        <v>130000</v>
      </c>
      <c r="F5" s="32">
        <f t="shared" si="0"/>
        <v>687130</v>
      </c>
    </row>
    <row r="6" spans="1:6" x14ac:dyDescent="0.25">
      <c r="A6" s="31" t="s">
        <v>114</v>
      </c>
      <c r="B6" s="14">
        <v>1625436</v>
      </c>
      <c r="C6" s="32">
        <v>635000</v>
      </c>
      <c r="D6" s="32">
        <f>Table7[[#This Row],[ Revenue ]]-Table7[[#This Row],[Total Expenses]]</f>
        <v>990436</v>
      </c>
      <c r="E6" s="32">
        <f t="shared" si="1"/>
        <v>127000</v>
      </c>
      <c r="F6" s="32">
        <f t="shared" si="0"/>
        <v>863436</v>
      </c>
    </row>
    <row r="7" spans="1:6" x14ac:dyDescent="0.25">
      <c r="A7" s="31" t="s">
        <v>115</v>
      </c>
      <c r="B7" s="14">
        <v>1032102</v>
      </c>
      <c r="C7" s="32">
        <v>595000</v>
      </c>
      <c r="D7" s="32">
        <f>Table7[[#This Row],[ Revenue ]]-Table7[[#This Row],[Total Expenses]]</f>
        <v>437102</v>
      </c>
      <c r="E7" s="32">
        <f t="shared" si="1"/>
        <v>119000</v>
      </c>
      <c r="F7" s="32">
        <f t="shared" si="0"/>
        <v>318102</v>
      </c>
    </row>
    <row r="8" spans="1:6" x14ac:dyDescent="0.25">
      <c r="A8" s="31" t="s">
        <v>131</v>
      </c>
      <c r="B8" s="14">
        <v>0</v>
      </c>
      <c r="C8" s="33">
        <v>0</v>
      </c>
      <c r="D8" s="32">
        <f>Table7[[#This Row],[ Revenue ]]-Table7[[#This Row],[Total Expenses]]</f>
        <v>0</v>
      </c>
      <c r="E8" s="33">
        <f t="shared" si="1"/>
        <v>0</v>
      </c>
      <c r="F8" s="33">
        <f>D8-E8</f>
        <v>0</v>
      </c>
    </row>
    <row r="10" spans="1:6" ht="19.350000000000001" customHeight="1" x14ac:dyDescent="0.25"/>
    <row r="12" spans="1:6" ht="16.5" customHeight="1" x14ac:dyDescent="0.25"/>
    <row r="13" spans="1:6" ht="19.5" customHeight="1" x14ac:dyDescent="0.25"/>
  </sheetData>
  <phoneticPr fontId="1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members &amp; salary</vt:lpstr>
      <vt:lpstr>services</vt:lpstr>
      <vt:lpstr>total_expenses</vt:lpstr>
      <vt:lpstr>projects &amp; sales</vt:lpstr>
      <vt:lpstr>financial_summary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Hashim</dc:creator>
  <cp:keywords/>
  <dc:description/>
  <cp:lastModifiedBy>Moeez Ahmad</cp:lastModifiedBy>
  <cp:revision/>
  <dcterms:created xsi:type="dcterms:W3CDTF">2025-12-26T11:25:44Z</dcterms:created>
  <dcterms:modified xsi:type="dcterms:W3CDTF">2026-01-03T17:51:27Z</dcterms:modified>
  <cp:category/>
  <cp:contentStatus/>
</cp:coreProperties>
</file>